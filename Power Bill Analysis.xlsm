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72df87048d5fbdd/Documents/"/>
    </mc:Choice>
  </mc:AlternateContent>
  <xr:revisionPtr revIDLastSave="1053" documentId="8_{B7AA94B1-5E2E-413A-B085-C19442DC42E8}" xr6:coauthVersionLast="47" xr6:coauthVersionMax="47" xr10:uidLastSave="{E0FA9F0F-36B3-4309-A76C-F48C96E71E77}"/>
  <bookViews>
    <workbookView xWindow="-120" yWindow="-120" windowWidth="29040" windowHeight="15720" activeTab="2" xr2:uid="{CF2B9EE1-BD06-4432-BB90-797B7D28277E}"/>
  </bookViews>
  <sheets>
    <sheet name="raw data" sheetId="1" r:id="rId1"/>
    <sheet name="K-mean analysis" sheetId="2" r:id="rId2"/>
    <sheet name="Dashboard" sheetId="3" r:id="rId3"/>
  </sheets>
  <definedNames>
    <definedName name="_xleta.UNIQ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" i="2" l="1" a="1"/>
  <c r="U1" i="2" l="1"/>
  <c r="H3" i="2"/>
  <c r="I3" i="2"/>
  <c r="H4" i="2"/>
  <c r="I4" i="2"/>
  <c r="H5" i="2"/>
  <c r="I5" i="2"/>
  <c r="H6" i="2"/>
  <c r="I6" i="2"/>
  <c r="H7" i="2"/>
  <c r="I7" i="2"/>
  <c r="H8" i="2"/>
  <c r="I8" i="2"/>
  <c r="H9" i="2"/>
  <c r="I9" i="2"/>
  <c r="H10" i="2"/>
  <c r="I10" i="2"/>
  <c r="H11" i="2"/>
  <c r="I11" i="2"/>
  <c r="H12" i="2"/>
  <c r="I12" i="2"/>
  <c r="H13" i="2"/>
  <c r="I13" i="2"/>
  <c r="H14" i="2"/>
  <c r="I14" i="2"/>
  <c r="H15" i="2"/>
  <c r="I15" i="2"/>
  <c r="H16" i="2"/>
  <c r="I16" i="2"/>
  <c r="H17" i="2"/>
  <c r="I17" i="2"/>
  <c r="H18" i="2"/>
  <c r="I18" i="2"/>
  <c r="H19" i="2"/>
  <c r="I19" i="2"/>
  <c r="H20" i="2"/>
  <c r="I20" i="2"/>
  <c r="H21" i="2"/>
  <c r="I21" i="2"/>
  <c r="H22" i="2"/>
  <c r="I22" i="2"/>
  <c r="H23" i="2"/>
  <c r="I23" i="2"/>
  <c r="H24" i="2"/>
  <c r="I24" i="2"/>
  <c r="H25" i="2"/>
  <c r="I25" i="2"/>
  <c r="H26" i="2"/>
  <c r="I26" i="2"/>
  <c r="H27" i="2"/>
  <c r="I27" i="2"/>
  <c r="H28" i="2"/>
  <c r="I28" i="2"/>
  <c r="H29" i="2"/>
  <c r="I29" i="2"/>
  <c r="H30" i="2"/>
  <c r="I30" i="2"/>
  <c r="H31" i="2"/>
  <c r="I31" i="2"/>
  <c r="H32" i="2"/>
  <c r="I32" i="2"/>
  <c r="H33" i="2"/>
  <c r="I33" i="2"/>
  <c r="H34" i="2"/>
  <c r="I34" i="2"/>
  <c r="H35" i="2"/>
  <c r="I35" i="2"/>
  <c r="H36" i="2"/>
  <c r="I36" i="2"/>
  <c r="H37" i="2"/>
  <c r="I37" i="2"/>
  <c r="H38" i="2"/>
  <c r="I38" i="2"/>
  <c r="H39" i="2"/>
  <c r="I39" i="2"/>
  <c r="H40" i="2"/>
  <c r="I40" i="2"/>
  <c r="I2" i="2"/>
  <c r="H2" i="2"/>
  <c r="F2" i="2" l="1" a="1"/>
  <c r="L2" i="2" a="1"/>
  <c r="R2" i="2" a="1"/>
  <c r="F2" i="2" l="1"/>
  <c r="P7" i="3" s="1" a="1"/>
  <c r="L2" i="2"/>
  <c r="M2" i="2" s="1" a="1"/>
  <c r="M2" i="2" s="1"/>
  <c r="R2" i="2"/>
  <c r="R3" i="2" a="1"/>
  <c r="E15" i="3" l="1" a="1"/>
  <c r="E15" i="3" s="1"/>
  <c r="F15" i="3" a="1"/>
  <c r="F15" i="3" s="1"/>
  <c r="E16" i="3" a="1"/>
  <c r="E16" i="3" s="1"/>
  <c r="F16" i="3" a="1"/>
  <c r="F16" i="3" s="1"/>
  <c r="P7" i="3"/>
  <c r="R3" i="2"/>
  <c r="R4" i="2" a="1"/>
  <c r="E14" i="3" l="1" a="1"/>
  <c r="E14" i="3" s="1"/>
  <c r="F14" i="3" a="1"/>
  <c r="F14" i="3" s="1"/>
  <c r="R4" i="2"/>
  <c r="R5" i="2" a="1"/>
  <c r="R5" i="2" l="1"/>
  <c r="R6" i="2" a="1"/>
  <c r="R6" i="2" l="1"/>
  <c r="R7" i="2" a="1"/>
  <c r="R7" i="2" l="1"/>
  <c r="R8" i="2" a="1"/>
  <c r="R8" i="2" l="1"/>
  <c r="R9" i="2" a="1"/>
  <c r="R9" i="2" l="1"/>
  <c r="R10" i="2" a="1"/>
  <c r="R10" i="2" l="1"/>
  <c r="AA11" i="2" a="1"/>
  <c r="AA11" i="2" l="1"/>
  <c r="Q7" i="3" a="1"/>
  <c r="Q7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from sklearn.cluster import KMeans
from sklearn.preprocessing import MinMaxScaler
df = xl(%P2%, headers="true")
normalized = MinMaxScaler().fit_transform(df)
kmeanpricec = KMeans(n_clusters=3,n_init='auto', random_state=42)
kmeanpricec.fit(normalized)</code>
    </pythonScript>
    <pythonScript>
      <code>kmeanpricec.labels_</code>
    </pythonScript>
    <pythonScript>
      <code>from sklearn.preprocessing import MinMaxScaler
df = xl(%P2%, headers="true")
normalized = MinMaxScaler().fit_transform(df)</code>
    </pythonScript>
    <pythonScript>
      <code>from sklearn.cluster import KMeans
kmeanprice = KMeans(n_clusters=xl(%P2%),n_init=10, random_state=2)
kmeanprice.fit(normalized)
kmeanprice.inertia_</code>
    </pythonScript>
    <pythonScript>
      <code>from sklearn.cluster import KMeans
kmeanprice = KMeans(n_clusters=xl(%P2%),n_init=10, random_state=42)
kmeanprice.fit(normalized)
kmeanprice.inertia_</code>
    </pythonScript>
    <pythonScript>
      <code>sns.scatterplot(data=xl(%P2%, headers=True),x="Outside_temp",y="AMOUNT($)",hue="Cluster")</code>
    </pythonScript>
    <pythonScript>
      <code>kmeanpricec.cluster_centers_</code>
    </pythonScript>
  </pythonScripts>
</python>
</file>

<file path=xl/sharedStrings.xml><?xml version="1.0" encoding="utf-8"?>
<sst xmlns="http://schemas.openxmlformats.org/spreadsheetml/2006/main" count="178" uniqueCount="31">
  <si>
    <t>DATE</t>
  </si>
  <si>
    <t>DESCRIPTION</t>
  </si>
  <si>
    <t xml:space="preserve">Customer Payment                                            </t>
  </si>
  <si>
    <t xml:space="preserve"> Regular Bill                                                </t>
  </si>
  <si>
    <t>AMOUNT</t>
  </si>
  <si>
    <t>PAYMENT DATE</t>
  </si>
  <si>
    <t>Usage(kwh)</t>
  </si>
  <si>
    <t>Billing total</t>
  </si>
  <si>
    <t>Month</t>
  </si>
  <si>
    <t>Year</t>
  </si>
  <si>
    <t>Normalize data for distribution</t>
  </si>
  <si>
    <t>Cluster</t>
  </si>
  <si>
    <t>Inertia</t>
  </si>
  <si>
    <t>Model</t>
  </si>
  <si>
    <t>Criteria</t>
  </si>
  <si>
    <t>AMOUNT($)</t>
  </si>
  <si>
    <t>Outside_temp</t>
  </si>
  <si>
    <t>Cost me the most</t>
  </si>
  <si>
    <t>Save me the most</t>
  </si>
  <si>
    <t>Help me stay on budget</t>
  </si>
  <si>
    <t>Min</t>
  </si>
  <si>
    <t>Max</t>
  </si>
  <si>
    <t>💵</t>
  </si>
  <si>
    <t>😭</t>
  </si>
  <si>
    <t>🤑</t>
  </si>
  <si>
    <t>Cluster Centers</t>
  </si>
  <si>
    <t>Analysis  on Montly spend on power bill</t>
  </si>
  <si>
    <t>What's temperature range?</t>
  </si>
  <si>
    <t>Helps me stay on budget</t>
  </si>
  <si>
    <t>Costs me the most</t>
  </si>
  <si>
    <t>Saves me the most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</si>
</sst>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8" formatCode="&quot;$&quot;#,##0.00_);[Red]\(&quot;$&quot;#,##0.00\)"/>
  </numFmts>
  <fonts count="6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8" fontId="0" fillId="0" borderId="0" xfId="0" applyNumberFormat="1"/>
    <xf numFmtId="6" fontId="0" fillId="0" borderId="0" xfId="0" applyNumberFormat="1"/>
    <xf numFmtId="1" fontId="0" fillId="0" borderId="0" xfId="0" applyNumberFormat="1"/>
    <xf numFmtId="0" fontId="4" fillId="0" borderId="0" xfId="0" applyFont="1"/>
    <xf numFmtId="0" fontId="0" fillId="2" borderId="0" xfId="0" applyFill="1"/>
    <xf numFmtId="0" fontId="4" fillId="2" borderId="0" xfId="0" applyFont="1" applyFill="1"/>
    <xf numFmtId="1" fontId="0" fillId="2" borderId="0" xfId="0" applyNumberFormat="1" applyFill="1"/>
    <xf numFmtId="0" fontId="3" fillId="2" borderId="0" xfId="0" applyFont="1" applyFill="1"/>
    <xf numFmtId="0" fontId="5" fillId="2" borderId="0" xfId="0" applyFont="1" applyFill="1"/>
    <xf numFmtId="0" fontId="1" fillId="2" borderId="1" xfId="1" applyFill="1"/>
    <xf numFmtId="1" fontId="1" fillId="2" borderId="1" xfId="1" applyNumberFormat="1" applyFill="1" applyAlignment="1">
      <alignment horizontal="center"/>
    </xf>
    <xf numFmtId="0" fontId="2" fillId="2" borderId="0" xfId="2" applyFill="1"/>
    <xf numFmtId="1" fontId="2" fillId="2" borderId="0" xfId="2" applyNumberFormat="1" applyFill="1" applyAlignment="1">
      <alignment horizontal="center"/>
    </xf>
  </cellXfs>
  <cellStyles count="3">
    <cellStyle name="Heading 1" xfId="1" builtinId="16"/>
    <cellStyle name="Heading 4" xfId="2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microsoft.com/office/2017/06/relationships/rdSupportingPropertyBag" Target="richData/rdsupportingpropertybag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17/06/relationships/rdSupportingPropertyBagStructure" Target="richData/rdsupportingpropertybagstructure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Array" Target="richData/rdarray.xml"/><Relationship Id="rId5" Type="http://schemas.openxmlformats.org/officeDocument/2006/relationships/styles" Target="styles.xml"/><Relationship Id="rId15" Type="http://schemas.microsoft.com/office/2017/10/relationships/person" Target="persons/person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/>
              <a:t>Elbow</a:t>
            </a:r>
            <a:r>
              <a:rPr lang="es-US" baseline="0"/>
              <a:t> plot</a:t>
            </a:r>
            <a:endParaRPr lang="es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numRef>
              <c:f>'K-mean analysis'!$Q$2:$Q$10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cat>
          <c:val>
            <c:numRef>
              <c:f>'K-mean analysis'!$R$2:$R$10</c:f>
              <c:numCache>
                <c:formatCode>General</c:formatCode>
                <c:ptCount val="9"/>
                <c:pt idx="0">
                  <c:v>2.0627810424765691</c:v>
                </c:pt>
                <c:pt idx="1">
                  <c:v>1.1426153655403251</c:v>
                </c:pt>
                <c:pt idx="2">
                  <c:v>0.64546860201606981</c:v>
                </c:pt>
                <c:pt idx="3">
                  <c:v>0.48396252290215269</c:v>
                </c:pt>
                <c:pt idx="4">
                  <c:v>0.38805804777125597</c:v>
                </c:pt>
                <c:pt idx="5">
                  <c:v>0.27509716272695955</c:v>
                </c:pt>
                <c:pt idx="6">
                  <c:v>0.1838647238207419</c:v>
                </c:pt>
                <c:pt idx="7">
                  <c:v>0.14878131153697946</c:v>
                </c:pt>
                <c:pt idx="8">
                  <c:v>0.12848925822894317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E-4973-9031-AEEFDD22C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5292383"/>
        <c:axId val="1845288063"/>
      </c:lineChart>
      <c:catAx>
        <c:axId val="18452923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US"/>
                  <a:t>#Cluster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845288063"/>
        <c:crosses val="autoZero"/>
        <c:auto val="1"/>
        <c:lblAlgn val="ctr"/>
        <c:lblOffset val="100"/>
        <c:noMultiLvlLbl val="0"/>
      </c:catAx>
      <c:valAx>
        <c:axId val="1845288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US"/>
                  <a:t>Infletion</a:t>
                </a:r>
                <a:r>
                  <a:rPr lang="es-US" baseline="0"/>
                  <a:t> point</a:t>
                </a:r>
                <a:endParaRPr lang="es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845292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b="1"/>
              <a:t>Power</a:t>
            </a:r>
            <a:r>
              <a:rPr lang="es-US" b="1" baseline="0"/>
              <a:t> bill vs Outside_temp</a:t>
            </a:r>
            <a:endParaRPr lang="es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'K-mean analysis'!$C$1</c:f>
              <c:strCache>
                <c:ptCount val="1"/>
                <c:pt idx="0">
                  <c:v>AMOUNT($)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'K-mean analysis'!$A$2:$A$27</c:f>
              <c:numCache>
                <c:formatCode>m/d/yyyy</c:formatCode>
                <c:ptCount val="26"/>
                <c:pt idx="0">
                  <c:v>46098</c:v>
                </c:pt>
                <c:pt idx="1">
                  <c:v>46070</c:v>
                </c:pt>
                <c:pt idx="2">
                  <c:v>46038</c:v>
                </c:pt>
                <c:pt idx="3">
                  <c:v>46007</c:v>
                </c:pt>
                <c:pt idx="4">
                  <c:v>45974</c:v>
                </c:pt>
                <c:pt idx="5">
                  <c:v>45946</c:v>
                </c:pt>
                <c:pt idx="6">
                  <c:v>45916</c:v>
                </c:pt>
                <c:pt idx="7">
                  <c:v>45888</c:v>
                </c:pt>
                <c:pt idx="8">
                  <c:v>45853</c:v>
                </c:pt>
                <c:pt idx="9">
                  <c:v>45818</c:v>
                </c:pt>
                <c:pt idx="10">
                  <c:v>45793</c:v>
                </c:pt>
                <c:pt idx="11">
                  <c:v>45762</c:v>
                </c:pt>
                <c:pt idx="12">
                  <c:v>45733</c:v>
                </c:pt>
                <c:pt idx="13">
                  <c:v>45705</c:v>
                </c:pt>
                <c:pt idx="14">
                  <c:v>45678</c:v>
                </c:pt>
                <c:pt idx="15">
                  <c:v>45645</c:v>
                </c:pt>
                <c:pt idx="16">
                  <c:v>45614</c:v>
                </c:pt>
                <c:pt idx="17">
                  <c:v>45579</c:v>
                </c:pt>
                <c:pt idx="18">
                  <c:v>45552</c:v>
                </c:pt>
                <c:pt idx="19">
                  <c:v>45519</c:v>
                </c:pt>
                <c:pt idx="20">
                  <c:v>45489</c:v>
                </c:pt>
                <c:pt idx="21">
                  <c:v>45460</c:v>
                </c:pt>
                <c:pt idx="22">
                  <c:v>45428</c:v>
                </c:pt>
                <c:pt idx="23">
                  <c:v>45398</c:v>
                </c:pt>
                <c:pt idx="24">
                  <c:v>45366</c:v>
                </c:pt>
                <c:pt idx="25">
                  <c:v>45341</c:v>
                </c:pt>
              </c:numCache>
            </c:numRef>
          </c:cat>
          <c:val>
            <c:numRef>
              <c:f>'K-mean analysis'!$C$2:$C$27</c:f>
              <c:numCache>
                <c:formatCode>"$"#,##0.00_);[Red]\("$"#,##0.00\)</c:formatCode>
                <c:ptCount val="26"/>
                <c:pt idx="0">
                  <c:v>42.32</c:v>
                </c:pt>
                <c:pt idx="1">
                  <c:v>43.83</c:v>
                </c:pt>
                <c:pt idx="2">
                  <c:v>39.56</c:v>
                </c:pt>
                <c:pt idx="3">
                  <c:v>41.55</c:v>
                </c:pt>
                <c:pt idx="4">
                  <c:v>39.799999999999997</c:v>
                </c:pt>
                <c:pt idx="5">
                  <c:v>60.92</c:v>
                </c:pt>
                <c:pt idx="6">
                  <c:v>78.819999999999993</c:v>
                </c:pt>
                <c:pt idx="7">
                  <c:v>116.29</c:v>
                </c:pt>
                <c:pt idx="8">
                  <c:v>106.47</c:v>
                </c:pt>
                <c:pt idx="9">
                  <c:v>56.86</c:v>
                </c:pt>
                <c:pt idx="10">
                  <c:v>32.39</c:v>
                </c:pt>
                <c:pt idx="11">
                  <c:v>30.53</c:v>
                </c:pt>
                <c:pt idx="12">
                  <c:v>30.75</c:v>
                </c:pt>
                <c:pt idx="13">
                  <c:v>11.96</c:v>
                </c:pt>
                <c:pt idx="14">
                  <c:v>64.95</c:v>
                </c:pt>
                <c:pt idx="15">
                  <c:v>35.93</c:v>
                </c:pt>
                <c:pt idx="16">
                  <c:v>50.77</c:v>
                </c:pt>
                <c:pt idx="17">
                  <c:v>115.79</c:v>
                </c:pt>
                <c:pt idx="18">
                  <c:v>114.41</c:v>
                </c:pt>
                <c:pt idx="19">
                  <c:v>126.67</c:v>
                </c:pt>
                <c:pt idx="20">
                  <c:v>106.29</c:v>
                </c:pt>
                <c:pt idx="21">
                  <c:v>67.87</c:v>
                </c:pt>
                <c:pt idx="22">
                  <c:v>66.98</c:v>
                </c:pt>
                <c:pt idx="23">
                  <c:v>64.28</c:v>
                </c:pt>
                <c:pt idx="24">
                  <c:v>69.81</c:v>
                </c:pt>
                <c:pt idx="25">
                  <c:v>60.53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35-4FE4-A300-250F06080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1694771199"/>
        <c:axId val="1694773119"/>
      </c:barChart>
      <c:lineChart>
        <c:grouping val="standard"/>
        <c:varyColors val="0"/>
        <c:ser>
          <c:idx val="1"/>
          <c:order val="1"/>
          <c:tx>
            <c:strRef>
              <c:f>'K-mean analysis'!$E$1</c:f>
              <c:strCache>
                <c:ptCount val="1"/>
                <c:pt idx="0">
                  <c:v>Outside_temp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'K-mean analysis'!$A$2:$A$27</c:f>
              <c:numCache>
                <c:formatCode>m/d/yyyy</c:formatCode>
                <c:ptCount val="26"/>
                <c:pt idx="0">
                  <c:v>46098</c:v>
                </c:pt>
                <c:pt idx="1">
                  <c:v>46070</c:v>
                </c:pt>
                <c:pt idx="2">
                  <c:v>46038</c:v>
                </c:pt>
                <c:pt idx="3">
                  <c:v>46007</c:v>
                </c:pt>
                <c:pt idx="4">
                  <c:v>45974</c:v>
                </c:pt>
                <c:pt idx="5">
                  <c:v>45946</c:v>
                </c:pt>
                <c:pt idx="6">
                  <c:v>45916</c:v>
                </c:pt>
                <c:pt idx="7">
                  <c:v>45888</c:v>
                </c:pt>
                <c:pt idx="8">
                  <c:v>45853</c:v>
                </c:pt>
                <c:pt idx="9">
                  <c:v>45818</c:v>
                </c:pt>
                <c:pt idx="10">
                  <c:v>45793</c:v>
                </c:pt>
                <c:pt idx="11">
                  <c:v>45762</c:v>
                </c:pt>
                <c:pt idx="12">
                  <c:v>45733</c:v>
                </c:pt>
                <c:pt idx="13">
                  <c:v>45705</c:v>
                </c:pt>
                <c:pt idx="14">
                  <c:v>45678</c:v>
                </c:pt>
                <c:pt idx="15">
                  <c:v>45645</c:v>
                </c:pt>
                <c:pt idx="16">
                  <c:v>45614</c:v>
                </c:pt>
                <c:pt idx="17">
                  <c:v>45579</c:v>
                </c:pt>
                <c:pt idx="18">
                  <c:v>45552</c:v>
                </c:pt>
                <c:pt idx="19">
                  <c:v>45519</c:v>
                </c:pt>
                <c:pt idx="20">
                  <c:v>45489</c:v>
                </c:pt>
                <c:pt idx="21">
                  <c:v>45460</c:v>
                </c:pt>
                <c:pt idx="22">
                  <c:v>45428</c:v>
                </c:pt>
                <c:pt idx="23">
                  <c:v>45398</c:v>
                </c:pt>
                <c:pt idx="24">
                  <c:v>45366</c:v>
                </c:pt>
                <c:pt idx="25">
                  <c:v>45341</c:v>
                </c:pt>
              </c:numCache>
            </c:numRef>
          </c:cat>
          <c:val>
            <c:numRef>
              <c:f>'K-mean analysis'!$E$2:$E$27</c:f>
              <c:numCache>
                <c:formatCode>0</c:formatCode>
                <c:ptCount val="26"/>
                <c:pt idx="0">
                  <c:v>44.19</c:v>
                </c:pt>
                <c:pt idx="1">
                  <c:v>34.86</c:v>
                </c:pt>
                <c:pt idx="2">
                  <c:v>44.27</c:v>
                </c:pt>
                <c:pt idx="3">
                  <c:v>44.84</c:v>
                </c:pt>
                <c:pt idx="4">
                  <c:v>53.7</c:v>
                </c:pt>
                <c:pt idx="5">
                  <c:v>68.900000000000006</c:v>
                </c:pt>
                <c:pt idx="6">
                  <c:v>78.53</c:v>
                </c:pt>
                <c:pt idx="7">
                  <c:v>83.21</c:v>
                </c:pt>
                <c:pt idx="8">
                  <c:v>77.67</c:v>
                </c:pt>
                <c:pt idx="9">
                  <c:v>65</c:v>
                </c:pt>
                <c:pt idx="10">
                  <c:v>54.79</c:v>
                </c:pt>
                <c:pt idx="11">
                  <c:v>45.59</c:v>
                </c:pt>
                <c:pt idx="12">
                  <c:v>39.14</c:v>
                </c:pt>
                <c:pt idx="13">
                  <c:v>32.29</c:v>
                </c:pt>
                <c:pt idx="14">
                  <c:v>37.119999999999997</c:v>
                </c:pt>
                <c:pt idx="15">
                  <c:v>40.74</c:v>
                </c:pt>
                <c:pt idx="16">
                  <c:v>62.55</c:v>
                </c:pt>
                <c:pt idx="17">
                  <c:v>72.75</c:v>
                </c:pt>
                <c:pt idx="18">
                  <c:v>80.09</c:v>
                </c:pt>
                <c:pt idx="19">
                  <c:v>83.32</c:v>
                </c:pt>
                <c:pt idx="20">
                  <c:v>77.680000000000007</c:v>
                </c:pt>
                <c:pt idx="21">
                  <c:v>59.1</c:v>
                </c:pt>
                <c:pt idx="22">
                  <c:v>54.34</c:v>
                </c:pt>
                <c:pt idx="23">
                  <c:v>45.53</c:v>
                </c:pt>
                <c:pt idx="24">
                  <c:v>40.340000000000003</c:v>
                </c:pt>
                <c:pt idx="25">
                  <c:v>35.880000000000003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35-4FE4-A300-250F06080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8354239"/>
        <c:axId val="1488357119"/>
      </c:lineChart>
      <c:dateAx>
        <c:axId val="1694771199"/>
        <c:scaling>
          <c:orientation val="minMax"/>
        </c:scaling>
        <c:delete val="0"/>
        <c:axPos val="b"/>
        <c:numFmt formatCode="mm\-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694773119"/>
        <c:crosses val="autoZero"/>
        <c:auto val="0"/>
        <c:lblOffset val="100"/>
        <c:baseTimeUnit val="months"/>
        <c:majorUnit val="1"/>
        <c:majorTimeUnit val="months"/>
        <c:minorUnit val="1"/>
        <c:minorTimeUnit val="months"/>
      </c:dateAx>
      <c:valAx>
        <c:axId val="1694773119"/>
        <c:scaling>
          <c:orientation val="minMax"/>
        </c:scaling>
        <c:delete val="0"/>
        <c:axPos val="l"/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694771199"/>
        <c:crosses val="autoZero"/>
        <c:crossBetween val="between"/>
      </c:valAx>
      <c:valAx>
        <c:axId val="148835711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US"/>
                  <a:t>Out_temp (F)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488354239"/>
        <c:crosses val="max"/>
        <c:crossBetween val="between"/>
      </c:valAx>
      <c:dateAx>
        <c:axId val="148835423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488357119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85724</xdr:rowOff>
    </xdr:from>
    <xdr:to>
      <xdr:col>2</xdr:col>
      <xdr:colOff>57150</xdr:colOff>
      <xdr:row>15</xdr:row>
      <xdr:rowOff>138112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F83F035-F2F8-621F-4CA3-06D754E772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clrChange>
            <a:clrFrom>
              <a:srgbClr val="FEFEFE"/>
            </a:clrFrom>
            <a:clrTo>
              <a:srgbClr val="FEFEFE">
                <a:alpha val="0"/>
              </a:srgbClr>
            </a:clrTo>
          </a:clrChange>
        </a:blip>
        <a:srcRect l="33567" r="25174"/>
        <a:stretch>
          <a:fillRect/>
        </a:stretch>
      </xdr:blipFill>
      <xdr:spPr>
        <a:xfrm>
          <a:off x="123825" y="85724"/>
          <a:ext cx="561975" cy="3495675"/>
        </a:xfrm>
        <a:prstGeom prst="rect">
          <a:avLst/>
        </a:prstGeom>
      </xdr:spPr>
    </xdr:pic>
    <xdr:clientData/>
  </xdr:twoCellAnchor>
  <xdr:twoCellAnchor editAs="oneCell">
    <xdr:from>
      <xdr:col>14</xdr:col>
      <xdr:colOff>2666</xdr:colOff>
      <xdr:row>22</xdr:row>
      <xdr:rowOff>95249</xdr:rowOff>
    </xdr:from>
    <xdr:to>
      <xdr:col>19</xdr:col>
      <xdr:colOff>1559718</xdr:colOff>
      <xdr:row>44</xdr:row>
      <xdr:rowOff>36443</xdr:rowOff>
    </xdr:to>
    <xdr:pic>
      <xdr:nvPicPr>
        <xdr:cNvPr id="4" name="Picture 3" descr="Image generated by Python">
          <a:extLst>
            <a:ext uri="{FF2B5EF4-FFF2-40B4-BE49-F238E27FC236}">
              <a16:creationId xmlns:a16="http://schemas.microsoft.com/office/drawing/2014/main" id="{67251BAA-8900-4C13-BDAF-CA064BEEDACE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'K-mean analysis'!AA11"/>
            </a:ext>
          </a:extLst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82447" y="4869655"/>
          <a:ext cx="5426584" cy="4132194"/>
        </a:xfrm>
        <a:prstGeom prst="rect">
          <a:avLst/>
        </a:prstGeom>
      </xdr:spPr>
    </xdr:pic>
    <xdr:clientData/>
  </xdr:twoCellAnchor>
  <xdr:twoCellAnchor>
    <xdr:from>
      <xdr:col>14</xdr:col>
      <xdr:colOff>559595</xdr:colOff>
      <xdr:row>9</xdr:row>
      <xdr:rowOff>47624</xdr:rowOff>
    </xdr:from>
    <xdr:to>
      <xdr:col>19</xdr:col>
      <xdr:colOff>1500188</xdr:colOff>
      <xdr:row>22</xdr:row>
      <xdr:rowOff>11907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762D15C-A1F4-43CA-8390-C4F858DCBD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123825</xdr:colOff>
      <xdr:row>19</xdr:row>
      <xdr:rowOff>57150</xdr:rowOff>
    </xdr:from>
    <xdr:to>
      <xdr:col>12</xdr:col>
      <xdr:colOff>401955</xdr:colOff>
      <xdr:row>36</xdr:row>
      <xdr:rowOff>91440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EF28FBA-8631-43E8-96EF-AA6674A7FE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380999</xdr:colOff>
      <xdr:row>1</xdr:row>
      <xdr:rowOff>76200</xdr:rowOff>
    </xdr:from>
    <xdr:to>
      <xdr:col>12</xdr:col>
      <xdr:colOff>161925</xdr:colOff>
      <xdr:row>9</xdr:row>
      <xdr:rowOff>95250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19AABAC1-0D45-54F4-E374-FB1EEBCD44BD}"/>
            </a:ext>
          </a:extLst>
        </xdr:cNvPr>
        <xdr:cNvSpPr txBox="1"/>
      </xdr:nvSpPr>
      <xdr:spPr>
        <a:xfrm>
          <a:off x="1009649" y="438150"/>
          <a:ext cx="7639051" cy="15430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US" sz="1600"/>
            <a:t>By</a:t>
          </a:r>
          <a:r>
            <a:rPr lang="es-US" sz="1600" baseline="0"/>
            <a:t> implementing </a:t>
          </a:r>
          <a:r>
            <a:rPr lang="es-US" sz="1600" b="1" baseline="0"/>
            <a:t>K-mean</a:t>
          </a:r>
          <a:r>
            <a:rPr lang="es-US" sz="1600" baseline="0"/>
            <a:t> over my power bill historical records (</a:t>
          </a:r>
          <a:r>
            <a:rPr lang="es-US" sz="1600" b="1" baseline="0"/>
            <a:t>3 years</a:t>
          </a:r>
          <a:r>
            <a:rPr lang="es-US" sz="1600" baseline="0"/>
            <a:t>)  I can segment and see what temperature range:</a:t>
          </a:r>
        </a:p>
        <a:p>
          <a:r>
            <a:rPr lang="es-US" sz="1600" baseline="0"/>
            <a:t>1 - forces more energy consumption= more spend</a:t>
          </a:r>
          <a:r>
            <a:rPr lang="en-US" sz="1600" baseline="0"/>
            <a:t>😭(no shopping)</a:t>
          </a:r>
          <a:endParaRPr lang="es-US" sz="1600" baseline="0"/>
        </a:p>
        <a:p>
          <a:r>
            <a:rPr lang="es-US" sz="1600" baseline="0"/>
            <a:t>2 - allows me the most savings  = less spend</a:t>
          </a:r>
          <a:r>
            <a:rPr lang="en-US" sz="1600" baseline="0"/>
            <a:t>🤑 (afford a bit of more shopping)</a:t>
          </a:r>
          <a:endParaRPr lang="es-US" sz="1600" baseline="0"/>
        </a:p>
        <a:p>
          <a:r>
            <a:rPr lang="es-US" sz="1600" baseline="0"/>
            <a:t>3 - helps me stay on budget </a:t>
          </a:r>
          <a:r>
            <a:rPr lang="en-US" sz="1600" baseline="0"/>
            <a:t>💵 (ensure I commit with my montly savings)</a:t>
          </a:r>
          <a:endParaRPr lang="es-US" sz="1600" baseline="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1" c="3">
    <v>0.26466742219510064</v>
    <v>0.31414267834793491</v>
    <v>0.23319615912208513</v>
    <v>0.27783105221863824</v>
    <v>0.33041301627033792</v>
    <v>5.0362531844013403E-2</v>
    <v>0.24060674745009153</v>
    <v>0.28410513141426785</v>
    <v>0.23476386439349417</v>
    <v>0.25795484264667418</v>
    <v>0.30538172715894868</v>
    <v>0.2459337644522831</v>
    <v>0.242698980036614</v>
    <v>0.28660826032540676</v>
    <v>0.41955712326082706</v>
    <v t="s">...</v>
    <v t="s">...</v>
    <v t="s">...</v>
    <v>0.48740301630197891</v>
    <v>0.65707133917396754</v>
    <v>0.52537722908093287</v>
    <v>0.47964432046029115</v>
    <v>0.64831038798498131</v>
    <v>0.43209876543209891</v>
    <v>0.45610670386191254</v>
    <v>0.62202753441802261</v>
    <v>0.25945522241818553</v>
    <v>0.50431522970970266</v>
    <v>0.6758448060075094</v>
    <v>0.15775034293552825</v>
    <v>0.42341556969749794</v>
    <v>0.58573216520650817</v>
    <v>7.0350774054477871E-2</v>
  </a>
</arrayData>
</file>

<file path=xl/richData/rdrichvalue.xml><?xml version="1.0" encoding="utf-8"?>
<rvData xmlns="http://schemas.microsoft.com/office/spreadsheetml/2017/richdata" count="5">
  <rv s="0">
    <v>&lt;class 'sklearn.cluster._kmeans.KMeans'&gt;</v>
    <v>KMeans</v>
    <v>KMeans(n_clusters=3, random_state=42)</v>
    <v>0</v>
  </rv>
  <rv s="1">
    <v>0</v>
  </rv>
  <rv s="2">
    <v>ndarray</v>
    <v>2</v>
    <v>1</v>
  </rv>
  <rv s="3">
    <v>&lt;class 'numpy.ndarray'&gt;</v>
    <v>ndarray</v>
    <v>[[0.26466742 0.31414268 0.23319616]
 [0.27783105 0.33041302 0.05036253]
 [0.24060675 0.28410513 0.23476386]
 [0.25795484 0.30538173 0.24593376]
 [0.24269898 0.28660826 0.41955712]
 [0.42681545 0.46433041 0.71742112]
 [0.58286113 0.59324155 0.90613365]
...</v>
    <v>2</v>
    <v>0</v>
  </rv>
  <rv s="4">
    <v>0</v>
    <v>9</v>
    <v>Image generated by Python</v>
  </rv>
</rvData>
</file>

<file path=xl/richData/rdrichvaluestructure.xml><?xml version="1.0" encoding="utf-8"?>
<rvStructures xmlns="http://schemas.microsoft.com/office/spreadsheetml/2017/richdata" count="5">
  <s t="_python">
    <k n="Python_type" t="s"/>
    <k n="Python_typeName" t="s"/>
    <k n="Python_str" t="s"/>
    <k n="_Provider" t="spb"/>
  </s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3">
    <spb s="0">
      <v>https://www.anaconda.com/excel</v>
      <v>https://res.cdn.office.net/officepysvc/prod-service/anacondalogo.png</v>
      <v>Python provided by Anaconda</v>
    </spb>
    <spb s="1">
      <v>26</v>
      <v>3</v>
      <v>ndarray</v>
      <v>arrayPreview</v>
    </spb>
    <spb s="2">
      <v>1</v>
    </spb>
  </spbData>
</supportingPropertyBags>
</file>

<file path=xl/richData/rdsupportingpropertybagstructure.xml><?xml version="1.0" encoding="utf-8"?>
<spbStructures xmlns="http://schemas.microsoft.com/office/spreadsheetml/2017/richdata2" count="3">
  <s>
    <k n="link" t="s"/>
    <k n="logo" t="s"/>
    <k n="name" t="s"/>
  </s>
  <s>
    <k n="drw" t="i"/>
    <k n="dcol" t="i"/>
    <k n="name" t="s"/>
    <k n="array" t="s"/>
  </s>
  <s>
    <k n="ArrayCardInfo" t="spb"/>
  </s>
</spb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1AF05-9A8F-4D78-A1CD-A86CFF6E68E2}">
  <sheetPr codeName="Sheet1"/>
  <dimension ref="A1:E97"/>
  <sheetViews>
    <sheetView workbookViewId="0">
      <selection activeCell="S5" sqref="S5"/>
    </sheetView>
  </sheetViews>
  <sheetFormatPr defaultRowHeight="15" x14ac:dyDescent="0.25"/>
  <cols>
    <col min="3" max="3" width="10.42578125" bestFit="1" customWidth="1"/>
  </cols>
  <sheetData>
    <row r="1" spans="1:5" x14ac:dyDescent="0.25">
      <c r="A1" t="s">
        <v>0</v>
      </c>
      <c r="B1" t="s">
        <v>1</v>
      </c>
      <c r="C1" t="s">
        <v>4</v>
      </c>
    </row>
    <row r="2" spans="1:5" x14ac:dyDescent="0.25">
      <c r="C2" s="1">
        <v>46098</v>
      </c>
      <c r="D2" t="s">
        <v>2</v>
      </c>
      <c r="E2" s="2">
        <v>42.32</v>
      </c>
    </row>
    <row r="3" spans="1:5" x14ac:dyDescent="0.25">
      <c r="C3" s="1">
        <v>46091</v>
      </c>
      <c r="D3" t="s">
        <v>3</v>
      </c>
      <c r="E3" s="2">
        <v>42.32</v>
      </c>
    </row>
    <row r="4" spans="1:5" x14ac:dyDescent="0.25">
      <c r="C4" s="1">
        <v>46070</v>
      </c>
      <c r="D4" t="s">
        <v>2</v>
      </c>
      <c r="E4" s="2">
        <v>43.83</v>
      </c>
    </row>
    <row r="5" spans="1:5" x14ac:dyDescent="0.25">
      <c r="C5" s="1">
        <v>46062</v>
      </c>
      <c r="D5" t="s">
        <v>3</v>
      </c>
      <c r="E5" s="2">
        <v>43.83</v>
      </c>
    </row>
    <row r="6" spans="1:5" x14ac:dyDescent="0.25">
      <c r="C6" s="1">
        <v>46038</v>
      </c>
      <c r="D6" t="s">
        <v>2</v>
      </c>
      <c r="E6" s="2">
        <v>39.56</v>
      </c>
    </row>
    <row r="7" spans="1:5" x14ac:dyDescent="0.25">
      <c r="A7" t="s">
        <v>0</v>
      </c>
      <c r="B7" t="s">
        <v>1</v>
      </c>
      <c r="C7" s="1">
        <v>46031</v>
      </c>
      <c r="D7" t="s">
        <v>3</v>
      </c>
      <c r="E7" s="2">
        <v>39.56</v>
      </c>
    </row>
    <row r="8" spans="1:5" x14ac:dyDescent="0.25">
      <c r="C8" s="1">
        <v>46007</v>
      </c>
      <c r="D8" t="s">
        <v>2</v>
      </c>
      <c r="E8" s="2">
        <v>41.55</v>
      </c>
    </row>
    <row r="9" spans="1:5" x14ac:dyDescent="0.25">
      <c r="C9" s="1">
        <v>46000</v>
      </c>
      <c r="D9" t="s">
        <v>3</v>
      </c>
      <c r="E9" s="2">
        <v>41.55</v>
      </c>
    </row>
    <row r="10" spans="1:5" x14ac:dyDescent="0.25">
      <c r="C10" s="1">
        <v>45974</v>
      </c>
      <c r="D10" t="s">
        <v>2</v>
      </c>
      <c r="E10" s="2">
        <v>39.799999999999997</v>
      </c>
    </row>
    <row r="11" spans="1:5" x14ac:dyDescent="0.25">
      <c r="C11" s="1">
        <v>45966</v>
      </c>
      <c r="D11" t="s">
        <v>3</v>
      </c>
      <c r="E11" s="2">
        <v>39.799999999999997</v>
      </c>
    </row>
    <row r="13" spans="1:5" x14ac:dyDescent="0.25">
      <c r="A13" t="s">
        <v>0</v>
      </c>
      <c r="B13" t="s">
        <v>1</v>
      </c>
      <c r="C13" s="1">
        <v>45946</v>
      </c>
      <c r="D13" t="s">
        <v>2</v>
      </c>
      <c r="E13" s="2">
        <v>60.92</v>
      </c>
    </row>
    <row r="14" spans="1:5" x14ac:dyDescent="0.25">
      <c r="C14" s="1">
        <v>45937</v>
      </c>
      <c r="D14" t="s">
        <v>3</v>
      </c>
      <c r="E14" s="2">
        <v>60.92</v>
      </c>
    </row>
    <row r="15" spans="1:5" x14ac:dyDescent="0.25">
      <c r="C15" s="1">
        <v>45916</v>
      </c>
      <c r="D15" t="s">
        <v>2</v>
      </c>
      <c r="E15" s="2">
        <v>78.819999999999993</v>
      </c>
    </row>
    <row r="16" spans="1:5" x14ac:dyDescent="0.25">
      <c r="C16" s="1">
        <v>45908</v>
      </c>
      <c r="D16" t="s">
        <v>3</v>
      </c>
      <c r="E16" s="2">
        <v>78.819999999999993</v>
      </c>
    </row>
    <row r="17" spans="1:5" x14ac:dyDescent="0.25">
      <c r="C17" s="1">
        <v>45888</v>
      </c>
      <c r="D17" t="s">
        <v>2</v>
      </c>
      <c r="E17" s="2">
        <v>116.29</v>
      </c>
    </row>
    <row r="18" spans="1:5" x14ac:dyDescent="0.25">
      <c r="C18" s="1">
        <v>45876</v>
      </c>
      <c r="D18" t="s">
        <v>3</v>
      </c>
      <c r="E18" s="2">
        <v>116.29</v>
      </c>
    </row>
    <row r="19" spans="1:5" x14ac:dyDescent="0.25">
      <c r="A19" t="s">
        <v>0</v>
      </c>
      <c r="B19" t="s">
        <v>1</v>
      </c>
      <c r="C19" s="1">
        <v>45853</v>
      </c>
      <c r="D19" t="s">
        <v>2</v>
      </c>
      <c r="E19" s="2">
        <v>106.47</v>
      </c>
    </row>
    <row r="20" spans="1:5" x14ac:dyDescent="0.25">
      <c r="C20" s="1">
        <v>45846</v>
      </c>
      <c r="D20" t="s">
        <v>3</v>
      </c>
      <c r="E20" s="2">
        <v>106.47</v>
      </c>
    </row>
    <row r="21" spans="1:5" x14ac:dyDescent="0.25">
      <c r="C21" s="1">
        <v>45818</v>
      </c>
      <c r="D21" t="s">
        <v>2</v>
      </c>
      <c r="E21" s="2">
        <v>56.86</v>
      </c>
    </row>
    <row r="22" spans="1:5" x14ac:dyDescent="0.25">
      <c r="C22" s="1">
        <v>45814</v>
      </c>
      <c r="D22" t="s">
        <v>3</v>
      </c>
      <c r="E22" s="2">
        <v>56.86</v>
      </c>
    </row>
    <row r="24" spans="1:5" x14ac:dyDescent="0.25">
      <c r="C24" s="1">
        <v>45793</v>
      </c>
      <c r="D24" t="s">
        <v>2</v>
      </c>
      <c r="E24" s="2">
        <v>32.39</v>
      </c>
    </row>
    <row r="25" spans="1:5" x14ac:dyDescent="0.25">
      <c r="A25" t="s">
        <v>0</v>
      </c>
      <c r="B25" t="s">
        <v>1</v>
      </c>
      <c r="C25" s="1">
        <v>45779</v>
      </c>
      <c r="D25" t="s">
        <v>3</v>
      </c>
      <c r="E25" s="2">
        <v>32.39</v>
      </c>
    </row>
    <row r="26" spans="1:5" x14ac:dyDescent="0.25">
      <c r="C26" s="1">
        <v>45762</v>
      </c>
      <c r="D26" t="s">
        <v>2</v>
      </c>
      <c r="E26" s="2">
        <v>30.53</v>
      </c>
    </row>
    <row r="27" spans="1:5" x14ac:dyDescent="0.25">
      <c r="C27" s="1">
        <v>45750</v>
      </c>
      <c r="D27" t="s">
        <v>3</v>
      </c>
      <c r="E27" s="2">
        <v>30.53</v>
      </c>
    </row>
    <row r="28" spans="1:5" x14ac:dyDescent="0.25">
      <c r="C28" s="1">
        <v>45733</v>
      </c>
      <c r="D28" t="s">
        <v>2</v>
      </c>
      <c r="E28" s="2">
        <v>30.75</v>
      </c>
    </row>
    <row r="29" spans="1:5" x14ac:dyDescent="0.25">
      <c r="C29" s="1">
        <v>45721</v>
      </c>
      <c r="D29" t="s">
        <v>3</v>
      </c>
      <c r="E29" s="2">
        <v>30.75</v>
      </c>
    </row>
    <row r="30" spans="1:5" x14ac:dyDescent="0.25">
      <c r="C30" s="1">
        <v>45705</v>
      </c>
      <c r="D30" t="s">
        <v>2</v>
      </c>
      <c r="E30" s="2">
        <v>11.96</v>
      </c>
    </row>
    <row r="31" spans="1:5" x14ac:dyDescent="0.25">
      <c r="A31" t="s">
        <v>0</v>
      </c>
      <c r="B31" t="s">
        <v>1</v>
      </c>
      <c r="C31" s="1">
        <v>45692</v>
      </c>
      <c r="D31" t="s">
        <v>3</v>
      </c>
      <c r="E31" s="2">
        <v>11.96</v>
      </c>
    </row>
    <row r="32" spans="1:5" x14ac:dyDescent="0.25">
      <c r="C32" s="1">
        <v>45678</v>
      </c>
      <c r="D32" t="s">
        <v>2</v>
      </c>
      <c r="E32" s="2">
        <v>64.95</v>
      </c>
    </row>
    <row r="33" spans="1:5" x14ac:dyDescent="0.25">
      <c r="C33" s="1">
        <v>45670</v>
      </c>
      <c r="D33" t="s">
        <v>3</v>
      </c>
      <c r="E33" s="2">
        <v>64.95</v>
      </c>
    </row>
    <row r="35" spans="1:5" x14ac:dyDescent="0.25">
      <c r="C35" s="1">
        <v>45645</v>
      </c>
      <c r="D35" t="s">
        <v>2</v>
      </c>
      <c r="E35" s="2">
        <v>35.93</v>
      </c>
    </row>
    <row r="36" spans="1:5" x14ac:dyDescent="0.25">
      <c r="C36" s="1">
        <v>45630</v>
      </c>
      <c r="D36" t="s">
        <v>3</v>
      </c>
      <c r="E36" s="2">
        <v>35.93</v>
      </c>
    </row>
    <row r="37" spans="1:5" x14ac:dyDescent="0.25">
      <c r="A37" t="s">
        <v>0</v>
      </c>
      <c r="B37" t="s">
        <v>1</v>
      </c>
      <c r="C37" s="1">
        <v>45614</v>
      </c>
      <c r="D37" t="s">
        <v>2</v>
      </c>
      <c r="E37" s="2">
        <v>50.77</v>
      </c>
    </row>
    <row r="38" spans="1:5" x14ac:dyDescent="0.25">
      <c r="C38" s="1">
        <v>45596</v>
      </c>
      <c r="D38" t="s">
        <v>3</v>
      </c>
      <c r="E38" s="2">
        <v>50.77</v>
      </c>
    </row>
    <row r="39" spans="1:5" x14ac:dyDescent="0.25">
      <c r="C39" s="1">
        <v>45579</v>
      </c>
      <c r="D39" t="s">
        <v>2</v>
      </c>
      <c r="E39" s="2">
        <v>115.79</v>
      </c>
    </row>
    <row r="40" spans="1:5" x14ac:dyDescent="0.25">
      <c r="C40" s="1">
        <v>45567</v>
      </c>
      <c r="D40" t="s">
        <v>3</v>
      </c>
      <c r="E40" s="2">
        <v>115.79</v>
      </c>
    </row>
    <row r="41" spans="1:5" x14ac:dyDescent="0.25">
      <c r="C41" s="1">
        <v>45552</v>
      </c>
      <c r="D41" t="s">
        <v>2</v>
      </c>
      <c r="E41" s="2">
        <v>114.41</v>
      </c>
    </row>
    <row r="42" spans="1:5" x14ac:dyDescent="0.25">
      <c r="C42" s="1">
        <v>45538</v>
      </c>
      <c r="D42" t="s">
        <v>3</v>
      </c>
      <c r="E42" s="2">
        <v>114.41</v>
      </c>
    </row>
    <row r="43" spans="1:5" x14ac:dyDescent="0.25">
      <c r="A43" t="s">
        <v>0</v>
      </c>
      <c r="B43" t="s">
        <v>1</v>
      </c>
      <c r="C43" s="1">
        <v>45519</v>
      </c>
      <c r="D43" t="s">
        <v>2</v>
      </c>
      <c r="E43" s="2">
        <v>126.67</v>
      </c>
    </row>
    <row r="44" spans="1:5" x14ac:dyDescent="0.25">
      <c r="C44" s="1">
        <v>45506</v>
      </c>
      <c r="D44" t="s">
        <v>3</v>
      </c>
      <c r="E44" s="2">
        <v>126.67</v>
      </c>
    </row>
    <row r="46" spans="1:5" x14ac:dyDescent="0.25">
      <c r="C46" s="1">
        <v>45489</v>
      </c>
      <c r="D46" t="s">
        <v>2</v>
      </c>
      <c r="E46" s="2">
        <v>106.29</v>
      </c>
    </row>
    <row r="47" spans="1:5" x14ac:dyDescent="0.25">
      <c r="C47" s="1">
        <v>45475</v>
      </c>
      <c r="D47" t="s">
        <v>3</v>
      </c>
      <c r="E47" s="2">
        <v>106.29</v>
      </c>
    </row>
    <row r="48" spans="1:5" x14ac:dyDescent="0.25">
      <c r="C48" s="1">
        <v>45460</v>
      </c>
      <c r="D48" t="s">
        <v>2</v>
      </c>
      <c r="E48" s="2">
        <v>67.87</v>
      </c>
    </row>
    <row r="49" spans="1:5" x14ac:dyDescent="0.25">
      <c r="A49" t="s">
        <v>0</v>
      </c>
      <c r="B49" t="s">
        <v>1</v>
      </c>
      <c r="C49" s="1">
        <v>45446</v>
      </c>
      <c r="D49" t="s">
        <v>3</v>
      </c>
      <c r="E49" s="2">
        <v>67.87</v>
      </c>
    </row>
    <row r="50" spans="1:5" x14ac:dyDescent="0.25">
      <c r="C50" s="1">
        <v>45428</v>
      </c>
      <c r="D50" t="s">
        <v>2</v>
      </c>
      <c r="E50" s="2">
        <v>66.98</v>
      </c>
    </row>
    <row r="51" spans="1:5" x14ac:dyDescent="0.25">
      <c r="C51" s="1">
        <v>45414</v>
      </c>
      <c r="D51" t="s">
        <v>3</v>
      </c>
      <c r="E51" s="2">
        <v>66.98</v>
      </c>
    </row>
    <row r="52" spans="1:5" x14ac:dyDescent="0.25">
      <c r="C52" s="1">
        <v>45398</v>
      </c>
      <c r="D52" t="s">
        <v>2</v>
      </c>
      <c r="E52" s="2">
        <v>64.28</v>
      </c>
    </row>
    <row r="53" spans="1:5" x14ac:dyDescent="0.25">
      <c r="C53" s="1">
        <v>45385</v>
      </c>
      <c r="D53" t="s">
        <v>3</v>
      </c>
      <c r="E53" s="2">
        <v>64.28</v>
      </c>
    </row>
    <row r="54" spans="1:5" x14ac:dyDescent="0.25">
      <c r="C54" s="1">
        <v>45366</v>
      </c>
      <c r="D54" t="s">
        <v>2</v>
      </c>
      <c r="E54" s="2">
        <v>69.81</v>
      </c>
    </row>
    <row r="55" spans="1:5" x14ac:dyDescent="0.25">
      <c r="C55" s="1">
        <v>45356</v>
      </c>
      <c r="D55" t="s">
        <v>3</v>
      </c>
      <c r="E55" s="2">
        <v>69.81</v>
      </c>
    </row>
    <row r="57" spans="1:5" x14ac:dyDescent="0.25">
      <c r="C57" s="1">
        <v>45341</v>
      </c>
      <c r="D57" t="s">
        <v>2</v>
      </c>
      <c r="E57" s="2">
        <v>60.53</v>
      </c>
    </row>
    <row r="58" spans="1:5" x14ac:dyDescent="0.25">
      <c r="C58" s="1">
        <v>45327</v>
      </c>
      <c r="D58" t="s">
        <v>3</v>
      </c>
      <c r="E58" s="2">
        <v>60.53</v>
      </c>
    </row>
    <row r="59" spans="1:5" x14ac:dyDescent="0.25">
      <c r="C59" s="1">
        <v>45306</v>
      </c>
      <c r="D59" t="s">
        <v>2</v>
      </c>
      <c r="E59" s="2">
        <v>50.36</v>
      </c>
    </row>
    <row r="60" spans="1:5" x14ac:dyDescent="0.25">
      <c r="C60" s="1">
        <v>45296</v>
      </c>
      <c r="D60" t="s">
        <v>3</v>
      </c>
      <c r="E60" s="2">
        <v>50.36</v>
      </c>
    </row>
    <row r="61" spans="1:5" x14ac:dyDescent="0.25">
      <c r="C61" s="1">
        <v>45278</v>
      </c>
      <c r="D61" t="s">
        <v>2</v>
      </c>
      <c r="E61" s="2">
        <v>67.75</v>
      </c>
    </row>
    <row r="62" spans="1:5" x14ac:dyDescent="0.25">
      <c r="C62" s="1">
        <v>45265</v>
      </c>
      <c r="D62" t="s">
        <v>3</v>
      </c>
      <c r="E62" s="2">
        <v>67.75</v>
      </c>
    </row>
    <row r="63" spans="1:5" x14ac:dyDescent="0.25">
      <c r="C63" s="1">
        <v>45251</v>
      </c>
      <c r="D63" t="s">
        <v>2</v>
      </c>
      <c r="E63" s="2">
        <v>58.29</v>
      </c>
    </row>
    <row r="64" spans="1:5" x14ac:dyDescent="0.25">
      <c r="C64" s="1">
        <v>45231</v>
      </c>
      <c r="D64" t="s">
        <v>3</v>
      </c>
      <c r="E64" s="2">
        <v>58.29</v>
      </c>
    </row>
    <row r="65" spans="3:5" x14ac:dyDescent="0.25">
      <c r="C65" s="1">
        <v>45216</v>
      </c>
      <c r="D65" t="s">
        <v>2</v>
      </c>
      <c r="E65" s="2">
        <v>84.16</v>
      </c>
    </row>
    <row r="66" spans="3:5" x14ac:dyDescent="0.25">
      <c r="C66" s="1">
        <v>45202</v>
      </c>
      <c r="D66" t="s">
        <v>3</v>
      </c>
      <c r="E66" s="2">
        <v>84.16</v>
      </c>
    </row>
    <row r="68" spans="3:5" x14ac:dyDescent="0.25">
      <c r="C68" s="1">
        <v>45188</v>
      </c>
      <c r="D68" t="s">
        <v>2</v>
      </c>
      <c r="E68" s="2">
        <v>102.3</v>
      </c>
    </row>
    <row r="69" spans="3:5" x14ac:dyDescent="0.25">
      <c r="C69" s="1">
        <v>45170</v>
      </c>
      <c r="D69" t="s">
        <v>3</v>
      </c>
      <c r="E69" s="2">
        <v>102.3</v>
      </c>
    </row>
    <row r="70" spans="3:5" x14ac:dyDescent="0.25">
      <c r="C70" s="1">
        <v>45153</v>
      </c>
      <c r="D70" t="s">
        <v>2</v>
      </c>
      <c r="E70" s="2">
        <v>112.85</v>
      </c>
    </row>
    <row r="71" spans="3:5" x14ac:dyDescent="0.25">
      <c r="C71" s="1">
        <v>45142</v>
      </c>
      <c r="D71" t="s">
        <v>3</v>
      </c>
      <c r="E71" s="2">
        <v>112.85</v>
      </c>
    </row>
    <row r="72" spans="3:5" x14ac:dyDescent="0.25">
      <c r="C72" s="1">
        <v>45125</v>
      </c>
      <c r="D72" t="s">
        <v>2</v>
      </c>
      <c r="E72" s="2">
        <v>72.17</v>
      </c>
    </row>
    <row r="73" spans="3:5" x14ac:dyDescent="0.25">
      <c r="C73" s="1">
        <v>45113</v>
      </c>
      <c r="D73" t="s">
        <v>3</v>
      </c>
      <c r="E73" s="2">
        <v>72.17</v>
      </c>
    </row>
    <row r="74" spans="3:5" x14ac:dyDescent="0.25">
      <c r="C74" s="1">
        <v>45097</v>
      </c>
      <c r="D74" t="s">
        <v>2</v>
      </c>
      <c r="E74" s="2">
        <v>63.37</v>
      </c>
    </row>
    <row r="75" spans="3:5" x14ac:dyDescent="0.25">
      <c r="C75" s="1">
        <v>45082</v>
      </c>
      <c r="D75" t="s">
        <v>3</v>
      </c>
      <c r="E75" s="2">
        <v>63.37</v>
      </c>
    </row>
    <row r="76" spans="3:5" x14ac:dyDescent="0.25">
      <c r="C76" s="1">
        <v>45063</v>
      </c>
      <c r="D76" t="s">
        <v>2</v>
      </c>
      <c r="E76" s="2">
        <v>36.08</v>
      </c>
    </row>
    <row r="77" spans="3:5" x14ac:dyDescent="0.25">
      <c r="C77" s="1">
        <v>45050</v>
      </c>
      <c r="D77" t="s">
        <v>3</v>
      </c>
      <c r="E77" s="2">
        <v>36.08</v>
      </c>
    </row>
    <row r="79" spans="3:5" x14ac:dyDescent="0.25">
      <c r="C79" s="1">
        <v>45034</v>
      </c>
      <c r="D79" t="s">
        <v>2</v>
      </c>
      <c r="E79" s="2">
        <v>30.48</v>
      </c>
    </row>
    <row r="80" spans="3:5" x14ac:dyDescent="0.25">
      <c r="C80" s="1">
        <v>45021</v>
      </c>
      <c r="D80" t="s">
        <v>3</v>
      </c>
      <c r="E80" s="2">
        <v>30.48</v>
      </c>
    </row>
    <row r="81" spans="3:5" x14ac:dyDescent="0.25">
      <c r="C81" s="1">
        <v>45002</v>
      </c>
      <c r="D81" t="s">
        <v>2</v>
      </c>
      <c r="E81" s="2">
        <v>37.1</v>
      </c>
    </row>
    <row r="82" spans="3:5" x14ac:dyDescent="0.25">
      <c r="C82" s="1">
        <v>44992</v>
      </c>
      <c r="D82" t="s">
        <v>3</v>
      </c>
      <c r="E82" s="2">
        <v>37.1</v>
      </c>
    </row>
    <row r="83" spans="3:5" x14ac:dyDescent="0.25">
      <c r="C83" s="1">
        <v>44973</v>
      </c>
      <c r="D83" t="s">
        <v>2</v>
      </c>
      <c r="E83" s="2">
        <v>35.590000000000003</v>
      </c>
    </row>
    <row r="84" spans="3:5" x14ac:dyDescent="0.25">
      <c r="C84" s="1">
        <v>44963</v>
      </c>
      <c r="D84" t="s">
        <v>3</v>
      </c>
      <c r="E84" s="2">
        <v>35.590000000000003</v>
      </c>
    </row>
    <row r="85" spans="3:5" x14ac:dyDescent="0.25">
      <c r="C85" s="1">
        <v>44943</v>
      </c>
      <c r="D85" t="s">
        <v>2</v>
      </c>
      <c r="E85" s="2">
        <v>38.99</v>
      </c>
    </row>
    <row r="86" spans="3:5" x14ac:dyDescent="0.25">
      <c r="C86" s="1">
        <v>44932</v>
      </c>
      <c r="D86" t="s">
        <v>3</v>
      </c>
      <c r="E86" s="2">
        <v>38.99</v>
      </c>
    </row>
    <row r="87" spans="3:5" x14ac:dyDescent="0.25">
      <c r="C87" s="1">
        <v>44915</v>
      </c>
      <c r="D87" t="s">
        <v>2</v>
      </c>
      <c r="E87" s="2">
        <v>38.29</v>
      </c>
    </row>
    <row r="88" spans="3:5" x14ac:dyDescent="0.25">
      <c r="C88" s="1">
        <v>44901</v>
      </c>
      <c r="D88" t="s">
        <v>3</v>
      </c>
      <c r="E88" s="2">
        <v>38.29</v>
      </c>
    </row>
    <row r="90" spans="3:5" x14ac:dyDescent="0.25">
      <c r="C90" s="1">
        <v>44882</v>
      </c>
      <c r="D90" t="s">
        <v>2</v>
      </c>
      <c r="E90" s="2">
        <v>44.71</v>
      </c>
    </row>
    <row r="91" spans="3:5" x14ac:dyDescent="0.25">
      <c r="C91" s="1">
        <v>44867</v>
      </c>
      <c r="D91" t="s">
        <v>3</v>
      </c>
      <c r="E91" s="2">
        <v>44.71</v>
      </c>
    </row>
    <row r="92" spans="3:5" x14ac:dyDescent="0.25">
      <c r="C92" s="1">
        <v>44852</v>
      </c>
      <c r="D92" t="s">
        <v>2</v>
      </c>
      <c r="E92" s="2">
        <v>80.11</v>
      </c>
    </row>
    <row r="93" spans="3:5" x14ac:dyDescent="0.25">
      <c r="C93" s="1">
        <v>44838</v>
      </c>
      <c r="D93" t="s">
        <v>3</v>
      </c>
      <c r="E93" s="2">
        <v>80.11</v>
      </c>
    </row>
    <row r="94" spans="3:5" x14ac:dyDescent="0.25">
      <c r="C94" s="1">
        <v>44823</v>
      </c>
      <c r="D94" t="s">
        <v>2</v>
      </c>
      <c r="E94" s="2">
        <v>95.57</v>
      </c>
    </row>
    <row r="95" spans="3:5" x14ac:dyDescent="0.25">
      <c r="C95" s="1">
        <v>44806</v>
      </c>
      <c r="D95" t="s">
        <v>3</v>
      </c>
      <c r="E95" s="2">
        <v>95.57</v>
      </c>
    </row>
    <row r="96" spans="3:5" x14ac:dyDescent="0.25">
      <c r="C96" s="1">
        <v>44789</v>
      </c>
      <c r="D96" t="s">
        <v>2</v>
      </c>
      <c r="E96" s="2">
        <v>118.38</v>
      </c>
    </row>
    <row r="97" spans="3:5" x14ac:dyDescent="0.25">
      <c r="C97" s="1">
        <v>44777</v>
      </c>
      <c r="D97" t="s">
        <v>3</v>
      </c>
      <c r="E97" s="2">
        <v>118.38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38B2F-75E3-44C7-8775-A619AC7737AA}">
  <sheetPr codeName="Sheet2"/>
  <dimension ref="A1:AA40"/>
  <sheetViews>
    <sheetView workbookViewId="0">
      <selection activeCell="L30" sqref="L30"/>
    </sheetView>
  </sheetViews>
  <sheetFormatPr defaultRowHeight="15" x14ac:dyDescent="0.25"/>
  <cols>
    <col min="1" max="1" width="12.7109375" customWidth="1"/>
    <col min="4" max="5" width="10.85546875" customWidth="1"/>
    <col min="6" max="6" width="9.42578125" bestFit="1" customWidth="1"/>
    <col min="7" max="7" width="10.85546875" customWidth="1"/>
    <col min="11" max="12" width="9.42578125" bestFit="1" customWidth="1"/>
    <col min="18" max="18" width="12" customWidth="1"/>
    <col min="21" max="21" width="9.42578125" bestFit="1" customWidth="1"/>
    <col min="24" max="24" width="9.42578125" bestFit="1" customWidth="1"/>
    <col min="27" max="27" width="9.42578125" bestFit="1" customWidth="1"/>
  </cols>
  <sheetData>
    <row r="1" spans="1:27" x14ac:dyDescent="0.25">
      <c r="A1" t="s">
        <v>5</v>
      </c>
      <c r="B1" t="s">
        <v>1</v>
      </c>
      <c r="C1" t="s">
        <v>15</v>
      </c>
      <c r="D1" t="s">
        <v>6</v>
      </c>
      <c r="E1" t="s">
        <v>16</v>
      </c>
      <c r="F1" t="s">
        <v>11</v>
      </c>
      <c r="G1" t="s">
        <v>7</v>
      </c>
      <c r="H1" t="s">
        <v>8</v>
      </c>
      <c r="I1" t="s">
        <v>9</v>
      </c>
      <c r="L1" s="5" t="s">
        <v>10</v>
      </c>
      <c r="Q1" s="5" t="s">
        <v>11</v>
      </c>
      <c r="R1" s="5" t="s">
        <v>12</v>
      </c>
      <c r="S1" s="5"/>
      <c r="T1" s="5" t="s">
        <v>13</v>
      </c>
      <c r="U1" t="e" cm="1" vm="1">
        <f t="array" ref="U1">_xlfn._xlws.PY(0,1,C1:E27)</f>
        <v>#VALUE!</v>
      </c>
    </row>
    <row r="2" spans="1:27" x14ac:dyDescent="0.25">
      <c r="A2" s="1">
        <v>46098</v>
      </c>
      <c r="B2" t="s">
        <v>2</v>
      </c>
      <c r="C2" s="2">
        <v>42.32</v>
      </c>
      <c r="D2">
        <v>264</v>
      </c>
      <c r="E2" s="4">
        <v>44.19</v>
      </c>
      <c r="F2" cm="1">
        <f t="array" ref="F2:F27">_xlfn._xlws.PY(1,0)</f>
        <v>2</v>
      </c>
      <c r="G2" s="3">
        <v>38</v>
      </c>
      <c r="H2">
        <f t="shared" ref="H2:H40" si="0">MONTH(A2)</f>
        <v>3</v>
      </c>
      <c r="I2">
        <f t="shared" ref="I2:I40" si="1">YEAR(A2)</f>
        <v>2026</v>
      </c>
      <c r="L2" t="e" cm="1" vm="2">
        <f t="array" ref="L2">_xlfn._xlws.PY(2,1,C1:E27)</f>
        <v>#VALUE!</v>
      </c>
      <c r="M2" cm="1">
        <f t="array" ref="M2:O12">_FV(L2,"arrayPreview")</f>
        <v>0.26466742219510064</v>
      </c>
      <c r="N2">
        <v>0.31414267834793491</v>
      </c>
      <c r="O2">
        <v>0.23319615912208513</v>
      </c>
      <c r="Q2">
        <v>2</v>
      </c>
      <c r="R2" cm="1">
        <f t="array" ref="R2">_xlfn._xlws.PY(3,0,Q2)</f>
        <v>2.0627810424765691</v>
      </c>
    </row>
    <row r="3" spans="1:27" x14ac:dyDescent="0.25">
      <c r="A3" s="1">
        <v>46070</v>
      </c>
      <c r="B3" t="s">
        <v>2</v>
      </c>
      <c r="C3" s="2">
        <v>43.83</v>
      </c>
      <c r="D3">
        <v>277</v>
      </c>
      <c r="E3" s="4">
        <v>34.86</v>
      </c>
      <c r="F3">
        <v>2</v>
      </c>
      <c r="G3" s="3">
        <v>39</v>
      </c>
      <c r="H3">
        <f t="shared" si="0"/>
        <v>2</v>
      </c>
      <c r="I3">
        <f t="shared" si="1"/>
        <v>2026</v>
      </c>
      <c r="M3">
        <v>0.27783105221863824</v>
      </c>
      <c r="N3">
        <v>0.33041301627033792</v>
      </c>
      <c r="O3">
        <v>5.0362531844013403E-2</v>
      </c>
      <c r="Q3">
        <v>3</v>
      </c>
      <c r="R3" cm="1">
        <f t="array" ref="R3">_xlfn._xlws.PY(4,0,Q3)</f>
        <v>1.1426153655403251</v>
      </c>
    </row>
    <row r="4" spans="1:27" x14ac:dyDescent="0.25">
      <c r="A4" s="1">
        <v>46038</v>
      </c>
      <c r="B4" t="s">
        <v>2</v>
      </c>
      <c r="C4" s="2">
        <v>39.56</v>
      </c>
      <c r="D4">
        <v>240</v>
      </c>
      <c r="E4" s="4">
        <v>44.27</v>
      </c>
      <c r="F4">
        <v>2</v>
      </c>
      <c r="G4" s="3">
        <v>35</v>
      </c>
      <c r="H4">
        <f t="shared" si="0"/>
        <v>1</v>
      </c>
      <c r="I4">
        <f t="shared" si="1"/>
        <v>2026</v>
      </c>
      <c r="M4">
        <v>0.24060674745009153</v>
      </c>
      <c r="N4">
        <v>0.28410513141426785</v>
      </c>
      <c r="O4">
        <v>0.23476386439349417</v>
      </c>
      <c r="Q4">
        <v>4</v>
      </c>
      <c r="R4" cm="1">
        <f t="array" ref="R4">_xlfn._xlws.PY(4,0,Q4)</f>
        <v>0.64546860201606981</v>
      </c>
    </row>
    <row r="5" spans="1:27" x14ac:dyDescent="0.25">
      <c r="A5" s="1">
        <v>46007</v>
      </c>
      <c r="B5" t="s">
        <v>2</v>
      </c>
      <c r="C5" s="2">
        <v>41.55</v>
      </c>
      <c r="D5">
        <v>257</v>
      </c>
      <c r="E5" s="4">
        <v>44.84</v>
      </c>
      <c r="F5">
        <v>2</v>
      </c>
      <c r="G5" s="3">
        <v>37</v>
      </c>
      <c r="H5">
        <f t="shared" si="0"/>
        <v>12</v>
      </c>
      <c r="I5">
        <f t="shared" si="1"/>
        <v>2025</v>
      </c>
      <c r="L5" s="4"/>
      <c r="M5">
        <v>0.25795484264667418</v>
      </c>
      <c r="N5">
        <v>0.30538172715894868</v>
      </c>
      <c r="O5">
        <v>0.2459337644522831</v>
      </c>
      <c r="Q5">
        <v>5</v>
      </c>
      <c r="R5" cm="1">
        <f t="array" ref="R5">_xlfn._xlws.PY(4,0,Q5)</f>
        <v>0.48396252290215269</v>
      </c>
    </row>
    <row r="6" spans="1:27" x14ac:dyDescent="0.25">
      <c r="A6" s="1">
        <v>45974</v>
      </c>
      <c r="B6" t="s">
        <v>2</v>
      </c>
      <c r="C6" s="2">
        <v>39.799999999999997</v>
      </c>
      <c r="D6">
        <v>242</v>
      </c>
      <c r="E6" s="4">
        <v>53.7</v>
      </c>
      <c r="F6">
        <v>2</v>
      </c>
      <c r="G6" s="3">
        <v>35</v>
      </c>
      <c r="H6">
        <f t="shared" si="0"/>
        <v>11</v>
      </c>
      <c r="I6">
        <f t="shared" si="1"/>
        <v>2025</v>
      </c>
      <c r="L6" s="2"/>
      <c r="M6">
        <v>0.242698980036614</v>
      </c>
      <c r="N6">
        <v>0.28660826032540676</v>
      </c>
      <c r="O6">
        <v>0.41955712326082706</v>
      </c>
      <c r="Q6">
        <v>6</v>
      </c>
      <c r="R6" cm="1">
        <f t="array" ref="R6">_xlfn._xlws.PY(4,0,Q6)</f>
        <v>0.38805804777125597</v>
      </c>
    </row>
    <row r="7" spans="1:27" x14ac:dyDescent="0.25">
      <c r="A7" s="1">
        <v>45946</v>
      </c>
      <c r="B7" t="s">
        <v>2</v>
      </c>
      <c r="C7" s="2">
        <v>60.92</v>
      </c>
      <c r="D7">
        <v>384</v>
      </c>
      <c r="E7" s="4">
        <v>68.900000000000006</v>
      </c>
      <c r="F7">
        <v>0</v>
      </c>
      <c r="G7" s="3">
        <v>57</v>
      </c>
      <c r="H7">
        <f t="shared" si="0"/>
        <v>10</v>
      </c>
      <c r="I7">
        <f t="shared" si="1"/>
        <v>2025</v>
      </c>
      <c r="M7" t="str">
        <v>...</v>
      </c>
      <c r="N7" t="str">
        <v>...</v>
      </c>
      <c r="O7" t="str">
        <v>...</v>
      </c>
      <c r="Q7">
        <v>7</v>
      </c>
      <c r="R7" cm="1">
        <f t="array" ref="R7">_xlfn._xlws.PY(4,0,Q7)</f>
        <v>0.27509716272695955</v>
      </c>
    </row>
    <row r="8" spans="1:27" x14ac:dyDescent="0.25">
      <c r="A8" s="1">
        <v>45916</v>
      </c>
      <c r="B8" t="s">
        <v>2</v>
      </c>
      <c r="C8" s="2">
        <v>78.819999999999993</v>
      </c>
      <c r="D8">
        <v>487</v>
      </c>
      <c r="E8" s="4">
        <v>78.53</v>
      </c>
      <c r="F8">
        <v>0</v>
      </c>
      <c r="G8" s="3">
        <v>74</v>
      </c>
      <c r="H8">
        <f t="shared" si="0"/>
        <v>9</v>
      </c>
      <c r="I8">
        <f t="shared" si="1"/>
        <v>2025</v>
      </c>
      <c r="M8">
        <v>0.48740301630197891</v>
      </c>
      <c r="N8">
        <v>0.65707133917396754</v>
      </c>
      <c r="O8">
        <v>0.52537722908093287</v>
      </c>
      <c r="Q8">
        <v>8</v>
      </c>
      <c r="R8" cm="1">
        <f t="array" ref="R8">_xlfn._xlws.PY(4,0,Q8)</f>
        <v>0.1838647238207419</v>
      </c>
    </row>
    <row r="9" spans="1:27" x14ac:dyDescent="0.25">
      <c r="A9" s="1">
        <v>45888</v>
      </c>
      <c r="B9" t="s">
        <v>2</v>
      </c>
      <c r="C9" s="2">
        <v>116.29</v>
      </c>
      <c r="D9">
        <v>709</v>
      </c>
      <c r="E9" s="4">
        <v>83.21</v>
      </c>
      <c r="F9">
        <v>1</v>
      </c>
      <c r="G9" s="3">
        <v>112</v>
      </c>
      <c r="H9">
        <f t="shared" si="0"/>
        <v>8</v>
      </c>
      <c r="I9">
        <f t="shared" si="1"/>
        <v>2025</v>
      </c>
      <c r="M9">
        <v>0.47964432046029115</v>
      </c>
      <c r="N9">
        <v>0.64831038798498131</v>
      </c>
      <c r="O9">
        <v>0.43209876543209891</v>
      </c>
      <c r="Q9">
        <v>9</v>
      </c>
      <c r="R9" cm="1">
        <f t="array" ref="R9">_xlfn._xlws.PY(4,0,Q9)</f>
        <v>0.14878131153697946</v>
      </c>
    </row>
    <row r="10" spans="1:27" x14ac:dyDescent="0.25">
      <c r="A10" s="1">
        <v>45853</v>
      </c>
      <c r="B10" t="s">
        <v>2</v>
      </c>
      <c r="C10" s="2">
        <v>106.47</v>
      </c>
      <c r="D10">
        <v>661</v>
      </c>
      <c r="E10" s="4">
        <v>77.67</v>
      </c>
      <c r="F10">
        <v>1</v>
      </c>
      <c r="G10" s="3">
        <v>102</v>
      </c>
      <c r="H10">
        <f t="shared" si="0"/>
        <v>7</v>
      </c>
      <c r="I10">
        <f t="shared" si="1"/>
        <v>2025</v>
      </c>
      <c r="M10">
        <v>0.45610670386191254</v>
      </c>
      <c r="N10">
        <v>0.62202753441802261</v>
      </c>
      <c r="O10">
        <v>0.25945522241818553</v>
      </c>
      <c r="Q10">
        <v>10</v>
      </c>
      <c r="R10" cm="1">
        <f t="array" ref="R10">_xlfn._xlws.PY(4,0,Q10)</f>
        <v>0.12848925822894317</v>
      </c>
    </row>
    <row r="11" spans="1:27" x14ac:dyDescent="0.25">
      <c r="A11" s="1">
        <v>45818</v>
      </c>
      <c r="B11" t="s">
        <v>2</v>
      </c>
      <c r="C11" s="2">
        <v>56.86</v>
      </c>
      <c r="D11">
        <v>374</v>
      </c>
      <c r="E11" s="4">
        <v>65</v>
      </c>
      <c r="F11">
        <v>0</v>
      </c>
      <c r="G11" s="3">
        <v>52</v>
      </c>
      <c r="H11">
        <f t="shared" si="0"/>
        <v>6</v>
      </c>
      <c r="I11">
        <f t="shared" si="1"/>
        <v>2025</v>
      </c>
      <c r="M11">
        <v>0.50431522970970266</v>
      </c>
      <c r="N11">
        <v>0.6758448060075094</v>
      </c>
      <c r="O11">
        <v>0.15775034293552825</v>
      </c>
      <c r="AA11" t="e" cm="1" vm="3">
        <f t="array" ref="AA11">_xlfn._xlws.PY(5,0,C1:F27)</f>
        <v>#VALUE!</v>
      </c>
    </row>
    <row r="12" spans="1:27" x14ac:dyDescent="0.25">
      <c r="A12" s="1">
        <v>45793</v>
      </c>
      <c r="B12" t="s">
        <v>2</v>
      </c>
      <c r="C12" s="2">
        <v>32.39</v>
      </c>
      <c r="D12">
        <v>195</v>
      </c>
      <c r="E12" s="4">
        <v>54.79</v>
      </c>
      <c r="F12">
        <v>2</v>
      </c>
      <c r="G12" s="3">
        <v>28</v>
      </c>
      <c r="H12">
        <f t="shared" si="0"/>
        <v>5</v>
      </c>
      <c r="I12">
        <f t="shared" si="1"/>
        <v>2025</v>
      </c>
      <c r="M12">
        <v>0.42341556969749794</v>
      </c>
      <c r="N12">
        <v>0.58573216520650817</v>
      </c>
      <c r="O12">
        <v>7.0350774054477871E-2</v>
      </c>
    </row>
    <row r="13" spans="1:27" x14ac:dyDescent="0.25">
      <c r="A13" s="1">
        <v>45762</v>
      </c>
      <c r="B13" t="s">
        <v>2</v>
      </c>
      <c r="C13" s="2">
        <v>30.53</v>
      </c>
      <c r="D13">
        <v>182</v>
      </c>
      <c r="E13" s="4">
        <v>45.59</v>
      </c>
      <c r="F13">
        <v>2</v>
      </c>
      <c r="G13" s="3">
        <v>26</v>
      </c>
      <c r="H13">
        <f t="shared" si="0"/>
        <v>4</v>
      </c>
      <c r="I13">
        <f t="shared" si="1"/>
        <v>2025</v>
      </c>
    </row>
    <row r="14" spans="1:27" x14ac:dyDescent="0.25">
      <c r="A14" s="1">
        <v>45733</v>
      </c>
      <c r="B14" t="s">
        <v>2</v>
      </c>
      <c r="C14" s="2">
        <v>30.75</v>
      </c>
      <c r="D14">
        <v>184</v>
      </c>
      <c r="E14" s="4">
        <v>39.14</v>
      </c>
      <c r="F14">
        <v>2</v>
      </c>
      <c r="G14" s="3">
        <v>26</v>
      </c>
      <c r="H14">
        <f t="shared" si="0"/>
        <v>3</v>
      </c>
      <c r="I14">
        <f t="shared" si="1"/>
        <v>2025</v>
      </c>
    </row>
    <row r="15" spans="1:27" x14ac:dyDescent="0.25">
      <c r="A15" s="1">
        <v>45705</v>
      </c>
      <c r="B15" t="s">
        <v>2</v>
      </c>
      <c r="C15" s="2">
        <v>11.96</v>
      </c>
      <c r="D15">
        <v>13</v>
      </c>
      <c r="E15" s="4">
        <v>32.29</v>
      </c>
      <c r="F15">
        <v>2</v>
      </c>
      <c r="G15" s="3">
        <v>8</v>
      </c>
      <c r="H15">
        <f t="shared" si="0"/>
        <v>2</v>
      </c>
      <c r="I15">
        <f t="shared" si="1"/>
        <v>2025</v>
      </c>
    </row>
    <row r="16" spans="1:27" x14ac:dyDescent="0.25">
      <c r="A16" s="1">
        <v>45678</v>
      </c>
      <c r="B16" t="s">
        <v>2</v>
      </c>
      <c r="C16" s="2">
        <v>64.95</v>
      </c>
      <c r="D16">
        <v>495</v>
      </c>
      <c r="E16" s="4">
        <v>37.119999999999997</v>
      </c>
      <c r="F16">
        <v>2</v>
      </c>
      <c r="G16" s="3">
        <v>61</v>
      </c>
      <c r="H16">
        <f t="shared" si="0"/>
        <v>1</v>
      </c>
      <c r="I16">
        <f t="shared" si="1"/>
        <v>2025</v>
      </c>
    </row>
    <row r="17" spans="1:9" x14ac:dyDescent="0.25">
      <c r="A17" s="1">
        <v>45645</v>
      </c>
      <c r="B17" t="s">
        <v>2</v>
      </c>
      <c r="C17" s="2">
        <v>35.93</v>
      </c>
      <c r="D17">
        <v>231</v>
      </c>
      <c r="E17" s="4">
        <v>40.74</v>
      </c>
      <c r="F17">
        <v>2</v>
      </c>
      <c r="G17" s="3">
        <v>32</v>
      </c>
      <c r="H17">
        <f t="shared" si="0"/>
        <v>12</v>
      </c>
      <c r="I17">
        <f t="shared" si="1"/>
        <v>2024</v>
      </c>
    </row>
    <row r="18" spans="1:9" x14ac:dyDescent="0.25">
      <c r="A18" s="1">
        <v>45614</v>
      </c>
      <c r="B18" t="s">
        <v>2</v>
      </c>
      <c r="C18" s="2">
        <v>50.77</v>
      </c>
      <c r="D18">
        <v>366</v>
      </c>
      <c r="E18" s="4">
        <v>62.55</v>
      </c>
      <c r="F18">
        <v>0</v>
      </c>
      <c r="G18" s="3">
        <v>46</v>
      </c>
      <c r="H18">
        <f t="shared" si="0"/>
        <v>11</v>
      </c>
      <c r="I18">
        <f t="shared" si="1"/>
        <v>2024</v>
      </c>
    </row>
    <row r="19" spans="1:9" x14ac:dyDescent="0.25">
      <c r="A19" s="1">
        <v>45579</v>
      </c>
      <c r="B19" t="s">
        <v>2</v>
      </c>
      <c r="C19" s="2">
        <v>115.79</v>
      </c>
      <c r="D19">
        <v>747</v>
      </c>
      <c r="E19" s="4">
        <v>72.75</v>
      </c>
      <c r="F19">
        <v>1</v>
      </c>
      <c r="G19" s="3">
        <v>112</v>
      </c>
      <c r="H19">
        <f t="shared" si="0"/>
        <v>10</v>
      </c>
      <c r="I19">
        <f t="shared" si="1"/>
        <v>2024</v>
      </c>
    </row>
    <row r="20" spans="1:9" x14ac:dyDescent="0.25">
      <c r="A20" s="1">
        <v>45552</v>
      </c>
      <c r="B20" t="s">
        <v>2</v>
      </c>
      <c r="C20" s="2">
        <v>114.41</v>
      </c>
      <c r="D20">
        <v>736</v>
      </c>
      <c r="E20" s="4">
        <v>80.09</v>
      </c>
      <c r="F20">
        <v>1</v>
      </c>
      <c r="G20" s="3">
        <v>110</v>
      </c>
      <c r="H20">
        <f t="shared" si="0"/>
        <v>9</v>
      </c>
      <c r="I20">
        <f t="shared" si="1"/>
        <v>2024</v>
      </c>
    </row>
    <row r="21" spans="1:9" x14ac:dyDescent="0.25">
      <c r="A21" s="1">
        <v>45519</v>
      </c>
      <c r="B21" t="s">
        <v>2</v>
      </c>
      <c r="C21" s="2">
        <v>126.67</v>
      </c>
      <c r="D21">
        <v>812</v>
      </c>
      <c r="E21" s="4">
        <v>83.32</v>
      </c>
      <c r="F21">
        <v>1</v>
      </c>
      <c r="G21" s="3">
        <v>122</v>
      </c>
      <c r="H21">
        <f t="shared" si="0"/>
        <v>8</v>
      </c>
      <c r="I21">
        <f t="shared" si="1"/>
        <v>2024</v>
      </c>
    </row>
    <row r="22" spans="1:9" x14ac:dyDescent="0.25">
      <c r="A22" s="1">
        <v>45489</v>
      </c>
      <c r="B22" t="s">
        <v>2</v>
      </c>
      <c r="C22" s="2">
        <v>106.29</v>
      </c>
      <c r="D22">
        <v>749</v>
      </c>
      <c r="E22" s="4">
        <v>77.680000000000007</v>
      </c>
      <c r="F22">
        <v>1</v>
      </c>
      <c r="G22" s="3">
        <v>102</v>
      </c>
      <c r="H22">
        <f t="shared" si="0"/>
        <v>7</v>
      </c>
      <c r="I22">
        <f t="shared" si="1"/>
        <v>2024</v>
      </c>
    </row>
    <row r="23" spans="1:9" x14ac:dyDescent="0.25">
      <c r="A23" s="1">
        <v>45460</v>
      </c>
      <c r="B23" t="s">
        <v>2</v>
      </c>
      <c r="C23" s="2">
        <v>67.87</v>
      </c>
      <c r="D23">
        <v>538</v>
      </c>
      <c r="E23" s="4">
        <v>59.1</v>
      </c>
      <c r="F23">
        <v>0</v>
      </c>
      <c r="G23" s="3">
        <v>64</v>
      </c>
      <c r="H23">
        <f t="shared" si="0"/>
        <v>6</v>
      </c>
      <c r="I23">
        <f t="shared" si="1"/>
        <v>2024</v>
      </c>
    </row>
    <row r="24" spans="1:9" x14ac:dyDescent="0.25">
      <c r="A24" s="1">
        <v>45428</v>
      </c>
      <c r="B24" t="s">
        <v>2</v>
      </c>
      <c r="C24" s="2">
        <v>66.98</v>
      </c>
      <c r="D24">
        <v>531</v>
      </c>
      <c r="E24" s="4">
        <v>54.34</v>
      </c>
      <c r="F24">
        <v>0</v>
      </c>
      <c r="G24" s="3">
        <v>63</v>
      </c>
      <c r="H24">
        <f t="shared" si="0"/>
        <v>5</v>
      </c>
      <c r="I24">
        <f t="shared" si="1"/>
        <v>2024</v>
      </c>
    </row>
    <row r="25" spans="1:9" x14ac:dyDescent="0.25">
      <c r="A25" s="1">
        <v>45398</v>
      </c>
      <c r="B25" t="s">
        <v>2</v>
      </c>
      <c r="C25" s="2">
        <v>64.28</v>
      </c>
      <c r="D25">
        <v>510</v>
      </c>
      <c r="E25" s="4">
        <v>45.53</v>
      </c>
      <c r="F25">
        <v>2</v>
      </c>
      <c r="G25" s="3">
        <v>60</v>
      </c>
      <c r="H25">
        <f t="shared" si="0"/>
        <v>4</v>
      </c>
      <c r="I25">
        <f t="shared" si="1"/>
        <v>2024</v>
      </c>
    </row>
    <row r="26" spans="1:9" x14ac:dyDescent="0.25">
      <c r="A26" s="1">
        <v>45366</v>
      </c>
      <c r="B26" t="s">
        <v>2</v>
      </c>
      <c r="C26" s="2">
        <v>69.81</v>
      </c>
      <c r="D26">
        <v>553</v>
      </c>
      <c r="E26" s="4">
        <v>40.340000000000003</v>
      </c>
      <c r="F26">
        <v>2</v>
      </c>
      <c r="G26" s="3">
        <v>66</v>
      </c>
      <c r="H26">
        <f t="shared" si="0"/>
        <v>3</v>
      </c>
      <c r="I26">
        <f t="shared" si="1"/>
        <v>2024</v>
      </c>
    </row>
    <row r="27" spans="1:9" x14ac:dyDescent="0.25">
      <c r="A27" s="1">
        <v>45341</v>
      </c>
      <c r="B27" t="s">
        <v>2</v>
      </c>
      <c r="C27" s="2">
        <v>60.53</v>
      </c>
      <c r="D27">
        <v>481</v>
      </c>
      <c r="E27" s="4">
        <v>35.880000000000003</v>
      </c>
      <c r="F27">
        <v>2</v>
      </c>
      <c r="G27" s="3">
        <v>56</v>
      </c>
      <c r="H27">
        <f t="shared" si="0"/>
        <v>2</v>
      </c>
      <c r="I27">
        <f t="shared" si="1"/>
        <v>2024</v>
      </c>
    </row>
    <row r="28" spans="1:9" x14ac:dyDescent="0.25">
      <c r="A28" s="1">
        <v>45306</v>
      </c>
      <c r="B28" t="s">
        <v>2</v>
      </c>
      <c r="C28" s="2">
        <v>50.36</v>
      </c>
      <c r="H28">
        <f t="shared" si="0"/>
        <v>1</v>
      </c>
      <c r="I28">
        <f t="shared" si="1"/>
        <v>2024</v>
      </c>
    </row>
    <row r="29" spans="1:9" x14ac:dyDescent="0.25">
      <c r="A29" s="1">
        <v>45278</v>
      </c>
      <c r="B29" t="s">
        <v>2</v>
      </c>
      <c r="C29" s="2">
        <v>67.75</v>
      </c>
      <c r="H29">
        <f t="shared" si="0"/>
        <v>12</v>
      </c>
      <c r="I29">
        <f t="shared" si="1"/>
        <v>2023</v>
      </c>
    </row>
    <row r="30" spans="1:9" x14ac:dyDescent="0.25">
      <c r="A30" s="1">
        <v>45251</v>
      </c>
      <c r="B30" t="s">
        <v>2</v>
      </c>
      <c r="C30" s="2">
        <v>58.29</v>
      </c>
      <c r="H30">
        <f t="shared" si="0"/>
        <v>11</v>
      </c>
      <c r="I30">
        <f t="shared" si="1"/>
        <v>2023</v>
      </c>
    </row>
    <row r="31" spans="1:9" x14ac:dyDescent="0.25">
      <c r="A31" s="1">
        <v>45216</v>
      </c>
      <c r="B31" t="s">
        <v>2</v>
      </c>
      <c r="C31" s="2">
        <v>84.16</v>
      </c>
      <c r="H31">
        <f t="shared" si="0"/>
        <v>10</v>
      </c>
      <c r="I31">
        <f t="shared" si="1"/>
        <v>2023</v>
      </c>
    </row>
    <row r="32" spans="1:9" x14ac:dyDescent="0.25">
      <c r="A32" s="1">
        <v>45188</v>
      </c>
      <c r="B32" t="s">
        <v>2</v>
      </c>
      <c r="C32" s="2">
        <v>102.3</v>
      </c>
      <c r="H32">
        <f t="shared" si="0"/>
        <v>9</v>
      </c>
      <c r="I32">
        <f t="shared" si="1"/>
        <v>2023</v>
      </c>
    </row>
    <row r="33" spans="1:9" x14ac:dyDescent="0.25">
      <c r="A33" s="1">
        <v>45153</v>
      </c>
      <c r="B33" t="s">
        <v>2</v>
      </c>
      <c r="C33" s="2">
        <v>112.85</v>
      </c>
      <c r="H33">
        <f t="shared" si="0"/>
        <v>8</v>
      </c>
      <c r="I33">
        <f t="shared" si="1"/>
        <v>2023</v>
      </c>
    </row>
    <row r="34" spans="1:9" x14ac:dyDescent="0.25">
      <c r="A34" s="1">
        <v>45125</v>
      </c>
      <c r="B34" t="s">
        <v>2</v>
      </c>
      <c r="C34" s="2">
        <v>72.17</v>
      </c>
      <c r="H34">
        <f t="shared" si="0"/>
        <v>7</v>
      </c>
      <c r="I34">
        <f t="shared" si="1"/>
        <v>2023</v>
      </c>
    </row>
    <row r="35" spans="1:9" x14ac:dyDescent="0.25">
      <c r="A35" s="1">
        <v>45097</v>
      </c>
      <c r="B35" t="s">
        <v>2</v>
      </c>
      <c r="C35" s="2">
        <v>63.37</v>
      </c>
      <c r="H35">
        <f t="shared" si="0"/>
        <v>6</v>
      </c>
      <c r="I35">
        <f t="shared" si="1"/>
        <v>2023</v>
      </c>
    </row>
    <row r="36" spans="1:9" x14ac:dyDescent="0.25">
      <c r="A36" s="1">
        <v>45063</v>
      </c>
      <c r="B36" t="s">
        <v>2</v>
      </c>
      <c r="C36" s="2">
        <v>36.08</v>
      </c>
      <c r="H36">
        <f t="shared" si="0"/>
        <v>5</v>
      </c>
      <c r="I36">
        <f t="shared" si="1"/>
        <v>2023</v>
      </c>
    </row>
    <row r="37" spans="1:9" x14ac:dyDescent="0.25">
      <c r="A37" s="1">
        <v>45034</v>
      </c>
      <c r="B37" t="s">
        <v>2</v>
      </c>
      <c r="C37" s="2">
        <v>30.48</v>
      </c>
      <c r="H37">
        <f t="shared" si="0"/>
        <v>4</v>
      </c>
      <c r="I37">
        <f t="shared" si="1"/>
        <v>2023</v>
      </c>
    </row>
    <row r="38" spans="1:9" x14ac:dyDescent="0.25">
      <c r="A38" s="1">
        <v>45002</v>
      </c>
      <c r="B38" t="s">
        <v>2</v>
      </c>
      <c r="C38" s="2">
        <v>37.1</v>
      </c>
      <c r="H38">
        <f t="shared" si="0"/>
        <v>3</v>
      </c>
      <c r="I38">
        <f t="shared" si="1"/>
        <v>2023</v>
      </c>
    </row>
    <row r="39" spans="1:9" x14ac:dyDescent="0.25">
      <c r="A39" s="1">
        <v>44973</v>
      </c>
      <c r="B39" t="s">
        <v>2</v>
      </c>
      <c r="C39" s="2">
        <v>35.590000000000003</v>
      </c>
      <c r="H39">
        <f t="shared" si="0"/>
        <v>2</v>
      </c>
      <c r="I39">
        <f t="shared" si="1"/>
        <v>2023</v>
      </c>
    </row>
    <row r="40" spans="1:9" x14ac:dyDescent="0.25">
      <c r="A40" s="1">
        <v>44943</v>
      </c>
      <c r="B40" t="s">
        <v>2</v>
      </c>
      <c r="C40" s="2">
        <v>38.99</v>
      </c>
      <c r="H40">
        <f t="shared" si="0"/>
        <v>1</v>
      </c>
      <c r="I40">
        <f t="shared" si="1"/>
        <v>2023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DE90-36ED-40A1-8763-06A0C4A57F4B}">
  <sheetPr codeName="Sheet3"/>
  <dimension ref="C1:T21"/>
  <sheetViews>
    <sheetView showRowColHeaders="0" tabSelected="1" zoomScale="80" zoomScaleNormal="80" workbookViewId="0">
      <selection activeCell="N8" sqref="N8"/>
    </sheetView>
  </sheetViews>
  <sheetFormatPr defaultRowHeight="15" x14ac:dyDescent="0.25"/>
  <cols>
    <col min="1" max="2" width="4.7109375" style="6" customWidth="1"/>
    <col min="3" max="3" width="9.140625" style="6"/>
    <col min="4" max="4" width="31.7109375" style="6" customWidth="1"/>
    <col min="5" max="5" width="9.140625" style="6"/>
    <col min="6" max="6" width="8.28515625" style="6" customWidth="1"/>
    <col min="7" max="7" width="13.85546875" style="6" customWidth="1"/>
    <col min="8" max="16" width="9.140625" style="6"/>
    <col min="17" max="17" width="12.5703125" style="6" customWidth="1"/>
    <col min="18" max="18" width="13" style="6" bestFit="1" customWidth="1"/>
    <col min="19" max="19" width="14.28515625" style="6" customWidth="1"/>
    <col min="20" max="20" width="24.140625" style="6" customWidth="1"/>
    <col min="21" max="16384" width="9.140625" style="6"/>
  </cols>
  <sheetData>
    <row r="1" spans="3:20" ht="28.5" x14ac:dyDescent="0.45">
      <c r="D1" s="10" t="s">
        <v>26</v>
      </c>
    </row>
    <row r="5" spans="3:20" ht="28.5" x14ac:dyDescent="0.45">
      <c r="Q5" s="10" t="s">
        <v>25</v>
      </c>
    </row>
    <row r="6" spans="3:20" x14ac:dyDescent="0.25">
      <c r="C6" s="7"/>
      <c r="D6" s="7"/>
      <c r="E6" s="7"/>
      <c r="F6" s="7"/>
      <c r="G6" s="7"/>
      <c r="H6" s="7"/>
      <c r="P6" s="7" t="s">
        <v>11</v>
      </c>
      <c r="Q6" s="7" t="s">
        <v>15</v>
      </c>
      <c r="R6" s="7" t="s">
        <v>6</v>
      </c>
      <c r="S6" s="7" t="s">
        <v>16</v>
      </c>
      <c r="T6" s="7" t="s">
        <v>14</v>
      </c>
    </row>
    <row r="7" spans="3:20" x14ac:dyDescent="0.25">
      <c r="C7" s="8"/>
      <c r="D7" s="8"/>
      <c r="E7" s="8"/>
      <c r="F7" s="8"/>
      <c r="G7" s="8"/>
      <c r="P7" s="6" cm="1">
        <f t="array" ref="P7:P9">_xlfn.UNIQUE(_xlfn._xlws.SORT(_xlfn.ANCHORARRAY('K-mean analysis'!F2)))</f>
        <v>0</v>
      </c>
      <c r="Q7" s="6" cm="1">
        <f t="array" ref="Q7:S9">_xlfn._xlws.PY(6,0)</f>
        <v>0.45107953389707373</v>
      </c>
      <c r="R7" s="6">
        <v>0.54276178556528998</v>
      </c>
      <c r="S7" s="6">
        <v>0.63583512966229039</v>
      </c>
      <c r="T7" s="13" t="s">
        <v>19</v>
      </c>
    </row>
    <row r="8" spans="3:20" x14ac:dyDescent="0.25">
      <c r="C8" s="8"/>
      <c r="D8" s="8"/>
      <c r="E8" s="8"/>
      <c r="F8" s="8"/>
      <c r="G8" s="8"/>
      <c r="P8" s="6">
        <v>1</v>
      </c>
      <c r="Q8" s="9">
        <v>0.89233719815186119</v>
      </c>
      <c r="R8" s="9">
        <v>0.90446391322486441</v>
      </c>
      <c r="S8" s="9">
        <v>0.91769547325102896</v>
      </c>
      <c r="T8" s="13" t="s">
        <v>17</v>
      </c>
    </row>
    <row r="9" spans="3:20" x14ac:dyDescent="0.25">
      <c r="C9" s="8"/>
      <c r="D9" s="8"/>
      <c r="E9" s="8"/>
      <c r="F9" s="8"/>
      <c r="G9" s="8"/>
      <c r="P9" s="6">
        <v>2</v>
      </c>
      <c r="Q9" s="6">
        <v>0.27444985491363311</v>
      </c>
      <c r="R9" s="6">
        <v>0.35240479170391564</v>
      </c>
      <c r="S9" s="6">
        <v>0.19767083788247825</v>
      </c>
      <c r="T9" s="13" t="s">
        <v>18</v>
      </c>
    </row>
    <row r="10" spans="3:20" x14ac:dyDescent="0.25">
      <c r="C10" s="8"/>
      <c r="D10" s="8"/>
      <c r="E10" s="8"/>
      <c r="F10" s="8"/>
      <c r="G10" s="8"/>
    </row>
    <row r="11" spans="3:20" ht="28.5" x14ac:dyDescent="0.45">
      <c r="C11" s="8"/>
      <c r="D11" s="10" t="s">
        <v>27</v>
      </c>
      <c r="F11" s="8"/>
      <c r="G11" s="8"/>
    </row>
    <row r="12" spans="3:20" x14ac:dyDescent="0.25">
      <c r="C12" s="8"/>
      <c r="D12" s="8"/>
      <c r="E12" s="8"/>
      <c r="F12" s="8"/>
      <c r="G12" s="8"/>
    </row>
    <row r="13" spans="3:20" ht="20.25" thickBot="1" x14ac:dyDescent="0.35">
      <c r="C13" s="8"/>
      <c r="D13" s="11"/>
      <c r="E13" s="12" t="s">
        <v>20</v>
      </c>
      <c r="F13" s="12" t="s">
        <v>21</v>
      </c>
    </row>
    <row r="14" spans="3:20" ht="15.75" thickTop="1" x14ac:dyDescent="0.25">
      <c r="C14" s="8"/>
      <c r="D14" s="13" t="s">
        <v>28</v>
      </c>
      <c r="E14" s="14" cm="1">
        <f t="array" ref="E14">MIN(_xlfn._xlws.FILTER('K-mean analysis'!$E$2:$E$27,_xlfn.ANCHORARRAY('K-mean analysis'!$F2)=P$7))</f>
        <v>54.34</v>
      </c>
      <c r="F14" s="14" cm="1">
        <f t="array" ref="F14">MAX(_xlfn._xlws.FILTER('K-mean analysis'!$E$2:$E$27,_xlfn.ANCHORARRAY('K-mean analysis'!$F2)=P$7))</f>
        <v>78.53</v>
      </c>
      <c r="G14" s="6" t="s">
        <v>22</v>
      </c>
    </row>
    <row r="15" spans="3:20" x14ac:dyDescent="0.25">
      <c r="C15" s="8"/>
      <c r="D15" s="13" t="s">
        <v>29</v>
      </c>
      <c r="E15" s="14" cm="1">
        <f t="array" ref="E15">MIN(_xlfn._xlws.FILTER('K-mean analysis'!$E$2:$E$27,_xlfn.ANCHORARRAY('K-mean analysis'!$F2)=P$8))</f>
        <v>72.75</v>
      </c>
      <c r="F15" s="14" cm="1">
        <f t="array" ref="F15">MAX(_xlfn._xlws.FILTER('K-mean analysis'!$E$2:$E$27,_xlfn.ANCHORARRAY('K-mean analysis'!$F2)=P$8))</f>
        <v>83.32</v>
      </c>
      <c r="G15" s="6" t="s">
        <v>23</v>
      </c>
    </row>
    <row r="16" spans="3:20" x14ac:dyDescent="0.25">
      <c r="C16" s="8"/>
      <c r="D16" s="13" t="s">
        <v>30</v>
      </c>
      <c r="E16" s="14" cm="1">
        <f t="array" ref="E16">MIN(_xlfn._xlws.FILTER('K-mean analysis'!$E$2:$E$27,_xlfn.ANCHORARRAY('K-mean analysis'!$F2)=P$9))</f>
        <v>32.29</v>
      </c>
      <c r="F16" s="14" cm="1">
        <f t="array" ref="F16">MAX(_xlfn._xlws.FILTER('K-mean analysis'!$E$2:$E$27,_xlfn.ANCHORARRAY('K-mean analysis'!$F2)=P$9))</f>
        <v>54.79</v>
      </c>
      <c r="G16" s="6" t="s">
        <v>24</v>
      </c>
    </row>
    <row r="17" spans="3:7" x14ac:dyDescent="0.25">
      <c r="C17" s="8"/>
      <c r="D17" s="8"/>
      <c r="E17" s="8"/>
      <c r="F17" s="8"/>
      <c r="G17" s="8"/>
    </row>
    <row r="18" spans="3:7" x14ac:dyDescent="0.25">
      <c r="C18" s="8"/>
      <c r="D18" s="8"/>
      <c r="E18" s="8"/>
      <c r="F18" s="8"/>
      <c r="G18" s="8"/>
    </row>
    <row r="19" spans="3:7" x14ac:dyDescent="0.25">
      <c r="C19" s="8"/>
      <c r="D19" s="8"/>
      <c r="E19" s="8"/>
      <c r="F19" s="8"/>
      <c r="G19" s="8"/>
    </row>
    <row r="20" spans="3:7" x14ac:dyDescent="0.25">
      <c r="C20" s="8"/>
      <c r="D20" s="8"/>
      <c r="G20" s="8"/>
    </row>
    <row r="21" spans="3:7" x14ac:dyDescent="0.25">
      <c r="E21" s="7"/>
    </row>
  </sheetData>
  <conditionalFormatting sqref="Q7:S9">
    <cfRule type="colorScale" priority="1">
      <colorScale>
        <cfvo type="min"/>
        <cfvo type="percentile" val="50"/>
        <cfvo type="max"/>
        <color theme="5" tint="0.79998168889431442"/>
        <color rgb="FFFCFCFF"/>
        <color theme="5" tint="-0.249977111117893"/>
      </colorScale>
    </cfRule>
  </conditionalFormatting>
  <pageMargins left="0.7" right="0.7" top="0.75" bottom="0.75" header="0.3" footer="0.3"/>
  <pageSetup scale="53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K-mean analysis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Sofie Longart</dc:creator>
  <cp:lastModifiedBy>Sofie Longart</cp:lastModifiedBy>
  <cp:lastPrinted>2026-03-26T02:57:13Z</cp:lastPrinted>
  <dcterms:created xsi:type="dcterms:W3CDTF">2026-03-25T00:35:13Z</dcterms:created>
  <dcterms:modified xsi:type="dcterms:W3CDTF">2026-03-27T19:36:27Z</dcterms:modified>
</cp:coreProperties>
</file>